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Abrasel Nacional\Downloads\"/>
    </mc:Choice>
  </mc:AlternateContent>
  <bookViews>
    <workbookView xWindow="0" yWindow="0" windowWidth="20490" windowHeight="7650" tabRatio="783"/>
  </bookViews>
  <sheets>
    <sheet name="Pré-Projeto" sheetId="14" r:id="rId1"/>
    <sheet name="Listas Suspensas" sheetId="9" state="hidden" r:id="rId2"/>
    <sheet name="Categorização de Projetos" sheetId="3" r:id="rId3"/>
    <sheet name="Ritos de Gestão" sheetId="6" r:id="rId4"/>
    <sheet name="Aux. Complexidade" sheetId="5" state="hidden" r:id="rId5"/>
  </sheets>
  <externalReferences>
    <externalReference r:id="rId6"/>
  </externalReferences>
  <definedNames>
    <definedName name="Gestão">'Listas Suspensas'!$D$2:$D$8</definedName>
    <definedName name="MacroEtapas">OFFSET([1]Plano_Projeto!$C$53,0,0,MATCH("ENTREGAS E CRITÉRIOS DE ACEITAÇÃO",[1]Plano_Projeto!$B$53:$B$434,0)-2,1)</definedName>
    <definedName name="Representatividade">'Listas Suspensas'!$D$11:$D$16</definedName>
    <definedName name="Soluções">'Listas Suspensas'!$F$2:$F$6</definedName>
    <definedName name="Sustentabilidade">'Listas Suspensas'!$F$11:$F$13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4" l="1" a="1"/>
  <c r="H10" i="14" s="1"/>
  <c r="A20" i="3" l="1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B49" i="5" l="1"/>
  <c r="A19" i="3"/>
  <c r="B48" i="5" s="1"/>
  <c r="B19" i="5" l="1"/>
  <c r="A15" i="3" l="1"/>
  <c r="B44" i="5" s="1"/>
  <c r="A16" i="3"/>
  <c r="B45" i="5" s="1"/>
  <c r="A17" i="3"/>
  <c r="B46" i="5" s="1"/>
  <c r="A18" i="3"/>
  <c r="C47" i="5" s="1"/>
  <c r="A14" i="3"/>
  <c r="B43" i="5" s="1"/>
  <c r="B47" i="5" l="1"/>
  <c r="B11" i="5" s="1"/>
  <c r="B13" i="5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<sst xmlns="http://schemas.openxmlformats.org/spreadsheetml/2006/main" count="208" uniqueCount="141">
  <si>
    <t>Termo de Abertura do Projeto</t>
  </si>
  <si>
    <t>EAP</t>
  </si>
  <si>
    <t>Plano de Riscos</t>
  </si>
  <si>
    <t>Solicitação de Mudanças</t>
  </si>
  <si>
    <t>Sim</t>
  </si>
  <si>
    <t>Não</t>
  </si>
  <si>
    <t>Critérios de Categorização</t>
  </si>
  <si>
    <t>Nome do projeto:</t>
  </si>
  <si>
    <t>Dados do projeto</t>
  </si>
  <si>
    <t>Objetivo do Formulário</t>
  </si>
  <si>
    <t>Resultado</t>
  </si>
  <si>
    <t>Avaliação da Complexidade</t>
  </si>
  <si>
    <t>Resposta</t>
  </si>
  <si>
    <t>Pontuação</t>
  </si>
  <si>
    <t/>
  </si>
  <si>
    <t>1)</t>
  </si>
  <si>
    <t>2)</t>
  </si>
  <si>
    <t>3)</t>
  </si>
  <si>
    <t>4)</t>
  </si>
  <si>
    <t>5)</t>
  </si>
  <si>
    <t>Categorias</t>
  </si>
  <si>
    <t>Complemento</t>
  </si>
  <si>
    <t>Valor (Ponta)</t>
  </si>
  <si>
    <t>Tamanho (largura)</t>
  </si>
  <si>
    <t>Investimento total:</t>
  </si>
  <si>
    <t>Duração do projeto:</t>
  </si>
  <si>
    <t>Quantidade de recusros internos:</t>
  </si>
  <si>
    <t>Alta</t>
  </si>
  <si>
    <t>Média</t>
  </si>
  <si>
    <t>Baixa</t>
  </si>
  <si>
    <t>Complexidade do Projeto</t>
  </si>
  <si>
    <t>Plano de Comunicação</t>
  </si>
  <si>
    <t>Cronograma MsProject</t>
  </si>
  <si>
    <t>x</t>
  </si>
  <si>
    <t>Mapa de indicadores</t>
  </si>
  <si>
    <t>Médio</t>
  </si>
  <si>
    <t>Grande</t>
  </si>
  <si>
    <t>Menor complexidade</t>
  </si>
  <si>
    <t>Maior complexidade</t>
  </si>
  <si>
    <t>6)</t>
  </si>
  <si>
    <t>É necessário criar um novo contrato com o fornecedor?</t>
  </si>
  <si>
    <t>Média complexidade</t>
  </si>
  <si>
    <t>7)</t>
  </si>
  <si>
    <t>Líder do projeto:</t>
  </si>
  <si>
    <t>Cockpit (consolidação documentação e visão portfólio)</t>
  </si>
  <si>
    <t>ok</t>
  </si>
  <si>
    <t>Governança</t>
  </si>
  <si>
    <t>Artefatos/Ferramentas</t>
  </si>
  <si>
    <t>O projeto envolve a participação ativa de parceiros de negócio/outras empresas?</t>
  </si>
  <si>
    <t>De 2 a 3 recursos internos</t>
  </si>
  <si>
    <t>1 recurso interno</t>
  </si>
  <si>
    <t>Acima de 3 recursos internos</t>
  </si>
  <si>
    <t>Qual é a prioridade do projeto para a ABRASEL?</t>
  </si>
  <si>
    <t>Ferramenta de Consolidação dos projetos</t>
  </si>
  <si>
    <t>Status Report</t>
  </si>
  <si>
    <t>Relatório 3 gerações (contramedidas)</t>
  </si>
  <si>
    <t>Macro processo de gestão</t>
  </si>
  <si>
    <t>Fluxo da operação</t>
  </si>
  <si>
    <t>Ferramenta de categorização</t>
  </si>
  <si>
    <t>Até R$ 100.000</t>
  </si>
  <si>
    <t>De R$ 100.000 a R$200.000</t>
  </si>
  <si>
    <t>Acima de R$ 200.000</t>
  </si>
  <si>
    <t>Até 1 mês</t>
  </si>
  <si>
    <t>De 1 a 2 meses</t>
  </si>
  <si>
    <t>Acima de 2 meses</t>
  </si>
  <si>
    <t>Média (B)</t>
  </si>
  <si>
    <t>Alta (A)</t>
  </si>
  <si>
    <t>Baixa (C)</t>
  </si>
  <si>
    <t>Qual o grau de envolvimento necessário do CEO com o projeto?</t>
  </si>
  <si>
    <t>Baixo</t>
  </si>
  <si>
    <t>Alto</t>
  </si>
  <si>
    <t>Kanban</t>
  </si>
  <si>
    <t>Termo de encerramento</t>
  </si>
  <si>
    <t>Escopo e não escopo</t>
  </si>
  <si>
    <r>
      <t xml:space="preserve">O objetivo deste formulário é  avaliar o projeto em função de sua complexidade para definir a os </t>
    </r>
    <r>
      <rPr>
        <b/>
        <sz val="11"/>
        <color theme="1"/>
        <rFont val="Calibri"/>
        <family val="2"/>
        <scheme val="minor"/>
      </rPr>
      <t>ritos de gestão</t>
    </r>
    <r>
      <rPr>
        <sz val="11"/>
        <color theme="1"/>
        <rFont val="Calibri"/>
        <family val="2"/>
        <scheme val="minor"/>
      </rPr>
      <t xml:space="preserve"> a serem aplicados no planejamento e controle do projeto. </t>
    </r>
  </si>
  <si>
    <t>Gestão Corporativa</t>
  </si>
  <si>
    <t>7. Implantar sistema nacional de coleta de dados do setor AFl</t>
  </si>
  <si>
    <t>Temos algum tipo de concorrência/benchmarking frente a essa iniciativa?</t>
  </si>
  <si>
    <t>Quais são as principais tendências do mercado?</t>
  </si>
  <si>
    <t>Quais os maiores riscos e que dados temos sobre eles?</t>
  </si>
  <si>
    <t xml:space="preserve">Qual o plano para rodar o MVP? </t>
  </si>
  <si>
    <t>Gestão</t>
  </si>
  <si>
    <t>Soluções para o Setor de Alimentação Fora do Lar</t>
  </si>
  <si>
    <t>Soluções</t>
  </si>
  <si>
    <t>1. Organizar as ferramentas de gestão e processos para melhorar a gestão da administração das Regionais/Seccionais e repassar esse conhecimento através de cursos e vídeos EAD para treinamento e reciclagem</t>
  </si>
  <si>
    <t>1. Definir quais ferramentas geram melhor experiência para o usuário, e facilitar seu acesso aos canais de comunicação que gerem os melhores resultados</t>
  </si>
  <si>
    <t>Representatividade</t>
  </si>
  <si>
    <t>Representatividade Político Institucional</t>
  </si>
  <si>
    <t>2. Ajudar as Seccionais/Regionais a construir um plano de priorização para implantar as melhores práticas de serviços prestados aos associados</t>
  </si>
  <si>
    <t>2. Desenvolver um catálogo de produtos e serviços para associados</t>
  </si>
  <si>
    <t>Sustentabilidade</t>
  </si>
  <si>
    <t>Sustentabilidade e Economia Circular</t>
  </si>
  <si>
    <t>3. Planejar a sucessão dos cargos de Presidente e Executivo das Seccionais</t>
  </si>
  <si>
    <t>3. Estudar a criação de um braço educacional para melhoria da qualidade de mão de obra através dos nossos parceiros estratégicos</t>
  </si>
  <si>
    <t>4. Capacitar os presidentes e executivos das Seccionais através de vídeos explicativos</t>
  </si>
  <si>
    <t>4. Mobilizar os órgãos públicos competentes para que exijam o cumprimento da legislação a todo o setor de AFL (comércio informal)</t>
  </si>
  <si>
    <t>5. Recomendar a implantação de planejamentos orçamentários nas Seccionais/Regionais</t>
  </si>
  <si>
    <t>5. Implantar o Open Delivery</t>
  </si>
  <si>
    <t>6. Implantar processo de cobranças recorrentes de mensalidade com renovação automática</t>
  </si>
  <si>
    <t>1. Ocupar todos os Órgãos consultivos e deliberativos do nosso interesse nos níveis federal, estadual e municipal, com destaque para o Sebrae</t>
  </si>
  <si>
    <t>1. Desenvolver um projeto/campanha de conscientização (educação + comunicação) sobre o tema com foco em líderes da Abrasel, empresários, clientes e sociedade em geral</t>
  </si>
  <si>
    <t>2. Criar mecanismos de acompanhamento de projetos e matérias em geral que tramitem nas 3 esferas legislativas</t>
  </si>
  <si>
    <t>2. Participar da construção de políticas públicas que envolvam o tema</t>
  </si>
  <si>
    <t>3. Sistematizar a relação com parlamentares e chefes do poder executivo, e apoiar candidatos ao legislativo alinhados à filosofia, histórico e interesses do setor</t>
  </si>
  <si>
    <t>3. Fomentar a discussão para melhorar o relacionamento entre as empresas de AFL e o setor de entregadores (delivery)</t>
  </si>
  <si>
    <t>4. Elaborar propostas de políticas públicas para o setor de AFL e trabalhar pela sua implantação</t>
  </si>
  <si>
    <t>5. Combater a transferência de recursos do Vale Refeição para o Vale Alimentação do PAT</t>
  </si>
  <si>
    <t>6. Fomentar alianças estratégicas situacionais com demais entidades empresariais</t>
  </si>
  <si>
    <t>Pequena</t>
  </si>
  <si>
    <t>Pré-Projeto</t>
  </si>
  <si>
    <t>Categorização</t>
  </si>
  <si>
    <t>Golden Circle Framework (Why and How)</t>
  </si>
  <si>
    <t>Canvas Framework de Proposta de Valor (What)</t>
  </si>
  <si>
    <t>Check de Viabilidade (What)</t>
  </si>
  <si>
    <t>4. Produtos e Serviços</t>
  </si>
  <si>
    <t>1. Tarefas do Cliente</t>
  </si>
  <si>
    <t>5. Aliviadores de Dores</t>
  </si>
  <si>
    <t>6. Criadores de Ganhos</t>
  </si>
  <si>
    <t>2. Dores</t>
  </si>
  <si>
    <t>3. Ganhos</t>
  </si>
  <si>
    <t xml:space="preserve">Qual o tempo estimado de projeto? </t>
  </si>
  <si>
    <t xml:space="preserve">Quais as métricas de sucesso? </t>
  </si>
  <si>
    <t>1. POR QUÊ</t>
  </si>
  <si>
    <t>1.1 Por que esse projeto é estratégico?</t>
  </si>
  <si>
    <t>2. COMO</t>
  </si>
  <si>
    <t>CÓDIGO</t>
  </si>
  <si>
    <t>ORIGEM</t>
  </si>
  <si>
    <t>Quanto precisamos investir? Quais recursos?</t>
  </si>
  <si>
    <t>Categorização (Classificação PMO)</t>
  </si>
  <si>
    <t>1.2 Por que esse projeto precisa sair do papel?</t>
  </si>
  <si>
    <t xml:space="preserve">
</t>
  </si>
  <si>
    <t xml:space="preserve">
</t>
  </si>
  <si>
    <t xml:space="preserve">
</t>
  </si>
  <si>
    <t>2.1 Como o projeto se conecta com a ação estratégica?</t>
  </si>
  <si>
    <t xml:space="preserve">
</t>
  </si>
  <si>
    <r>
      <rPr>
        <sz val="12"/>
        <color rgb="FF323737"/>
        <rFont val="Calibri"/>
        <family val="2"/>
        <scheme val="minor"/>
      </rPr>
      <t xml:space="preserve">Quem são os </t>
    </r>
    <r>
      <rPr>
        <i/>
        <sz val="12"/>
        <color rgb="FF323737"/>
        <rFont val="Calibri"/>
        <family val="2"/>
        <scheme val="minor"/>
      </rPr>
      <t>stakeholders</t>
    </r>
    <r>
      <rPr>
        <sz val="12"/>
        <color rgb="FF323737"/>
        <rFont val="Calibri"/>
        <family val="2"/>
        <scheme val="minor"/>
      </rPr>
      <t xml:space="preserve"> envolvidos? Quais suas relação com a ideia? </t>
    </r>
  </si>
  <si>
    <t>NOME DO PRÉ-PROJETO</t>
  </si>
  <si>
    <t>NOME DO RESPONSÁVEL</t>
  </si>
  <si>
    <t>OBJETIVO</t>
  </si>
  <si>
    <t>COMPLEXIDADE</t>
  </si>
  <si>
    <t>PRIORIDADE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</si>
</sst>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8"/>
      <color theme="1"/>
      <name val="Arial"/>
      <family val="2"/>
    </font>
    <font>
      <b/>
      <sz val="8"/>
      <color rgb="FF323737"/>
      <name val="Arial"/>
      <family val="2"/>
    </font>
    <font>
      <sz val="8"/>
      <color rgb="FF323737"/>
      <name val="Arial"/>
      <family val="2"/>
    </font>
    <font>
      <sz val="11"/>
      <color rgb="FF323737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 Light"/>
      <family val="2"/>
      <scheme val="major"/>
    </font>
    <font>
      <sz val="11"/>
      <color rgb="FF002060"/>
      <name val="Calibri Light"/>
      <family val="2"/>
      <scheme val="major"/>
    </font>
    <font>
      <sz val="12"/>
      <color rgb="FF002060"/>
      <name val="Calibri Light"/>
      <family val="2"/>
      <scheme val="major"/>
    </font>
    <font>
      <sz val="12"/>
      <color theme="1" tint="-0.499984740745262"/>
      <name val="Calibri Light"/>
      <family val="2"/>
      <scheme val="major"/>
    </font>
    <font>
      <b/>
      <sz val="18"/>
      <color theme="0"/>
      <name val="Calibri Light"/>
      <family val="2"/>
      <scheme val="major"/>
    </font>
    <font>
      <sz val="11"/>
      <color theme="1" tint="-0.499984740745262"/>
      <name val="Calibri Light"/>
      <family val="2"/>
      <scheme val="major"/>
    </font>
    <font>
      <sz val="12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1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323737"/>
      <name val="Calibri"/>
      <family val="2"/>
      <scheme val="minor"/>
    </font>
    <font>
      <i/>
      <sz val="12"/>
      <color rgb="FF323737"/>
      <name val="Calibri"/>
      <family val="2"/>
      <scheme val="minor"/>
    </font>
    <font>
      <b/>
      <sz val="28"/>
      <name val="Calibri"/>
      <family val="2"/>
      <scheme val="minor"/>
    </font>
    <font>
      <b/>
      <sz val="1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663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4F5F3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2060"/>
      </left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2" fillId="0" borderId="0"/>
    <xf numFmtId="0" fontId="12" fillId="0" borderId="0"/>
  </cellStyleXfs>
  <cellXfs count="136">
    <xf numFmtId="0" fontId="0" fillId="0" borderId="0" xfId="0"/>
    <xf numFmtId="0" fontId="0" fillId="0" borderId="1" xfId="0" applyBorder="1"/>
    <xf numFmtId="0" fontId="0" fillId="4" borderId="1" xfId="0" applyFill="1" applyBorder="1"/>
    <xf numFmtId="0" fontId="0" fillId="0" borderId="0" xfId="0" applyBorder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6" xfId="0" applyBorder="1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6" xfId="0" applyBorder="1"/>
    <xf numFmtId="0" fontId="0" fillId="0" borderId="11" xfId="0" applyBorder="1"/>
    <xf numFmtId="0" fontId="0" fillId="5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7" borderId="4" xfId="0" applyFont="1" applyFill="1" applyBorder="1" applyAlignment="1">
      <alignment vertical="center"/>
    </xf>
    <xf numFmtId="0" fontId="3" fillId="7" borderId="5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/>
    </xf>
    <xf numFmtId="0" fontId="7" fillId="11" borderId="23" xfId="0" applyFont="1" applyFill="1" applyBorder="1" applyAlignment="1">
      <alignment horizontal="center" vertical="center" wrapText="1" readingOrder="1"/>
    </xf>
    <xf numFmtId="0" fontId="6" fillId="0" borderId="0" xfId="0" applyFont="1"/>
    <xf numFmtId="0" fontId="7" fillId="6" borderId="23" xfId="0" applyFont="1" applyFill="1" applyBorder="1" applyAlignment="1">
      <alignment vertical="center" wrapText="1" readingOrder="1"/>
    </xf>
    <xf numFmtId="0" fontId="7" fillId="6" borderId="24" xfId="0" applyFont="1" applyFill="1" applyBorder="1" applyAlignment="1">
      <alignment vertical="center" wrapText="1" readingOrder="1"/>
    </xf>
    <xf numFmtId="0" fontId="7" fillId="11" borderId="24" xfId="0" applyFont="1" applyFill="1" applyBorder="1" applyAlignment="1">
      <alignment horizontal="center" vertical="center" wrapText="1" readingOrder="1"/>
    </xf>
    <xf numFmtId="0" fontId="8" fillId="6" borderId="25" xfId="0" applyFont="1" applyFill="1" applyBorder="1" applyAlignment="1">
      <alignment horizontal="left" vertical="center" wrapText="1" readingOrder="1"/>
    </xf>
    <xf numFmtId="0" fontId="8" fillId="6" borderId="26" xfId="0" applyFont="1" applyFill="1" applyBorder="1" applyAlignment="1">
      <alignment horizontal="left" vertical="center" wrapText="1" readingOrder="1"/>
    </xf>
    <xf numFmtId="0" fontId="7" fillId="12" borderId="27" xfId="0" applyFont="1" applyFill="1" applyBorder="1" applyAlignment="1">
      <alignment vertical="center" wrapText="1" readingOrder="1"/>
    </xf>
    <xf numFmtId="0" fontId="7" fillId="12" borderId="28" xfId="0" applyFont="1" applyFill="1" applyBorder="1" applyAlignment="1">
      <alignment vertical="center" wrapText="1" readingOrder="1"/>
    </xf>
    <xf numFmtId="0" fontId="6" fillId="12" borderId="0" xfId="0" applyFont="1" applyFill="1"/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1" applyNumberFormat="1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3" fillId="0" borderId="0" xfId="0" applyFont="1"/>
    <xf numFmtId="0" fontId="14" fillId="0" borderId="31" xfId="0" applyFont="1" applyBorder="1"/>
    <xf numFmtId="0" fontId="14" fillId="0" borderId="0" xfId="0" applyFont="1" applyAlignment="1">
      <alignment horizontal="center"/>
    </xf>
    <xf numFmtId="0" fontId="18" fillId="0" borderId="0" xfId="0" applyFont="1" applyProtection="1">
      <protection locked="0"/>
    </xf>
    <xf numFmtId="0" fontId="14" fillId="0" borderId="31" xfId="2" applyFont="1" applyBorder="1" applyAlignment="1">
      <alignment vertical="center"/>
    </xf>
    <xf numFmtId="0" fontId="14" fillId="0" borderId="0" xfId="2" applyFont="1" applyAlignment="1">
      <alignment horizontal="center" vertical="center"/>
    </xf>
    <xf numFmtId="0" fontId="17" fillId="0" borderId="0" xfId="2" applyFont="1" applyFill="1" applyAlignment="1">
      <alignment horizontal="center" vertical="center"/>
    </xf>
    <xf numFmtId="0" fontId="17" fillId="0" borderId="31" xfId="2" applyFont="1" applyFill="1" applyBorder="1" applyAlignment="1">
      <alignment horizontal="center" vertical="center"/>
    </xf>
    <xf numFmtId="49" fontId="20" fillId="0" borderId="32" xfId="3" applyNumberFormat="1" applyFont="1" applyBorder="1" applyAlignment="1" applyProtection="1">
      <alignment horizontal="center" vertical="center" wrapText="1"/>
      <protection locked="0"/>
    </xf>
    <xf numFmtId="0" fontId="19" fillId="0" borderId="29" xfId="3" applyFont="1" applyBorder="1" applyAlignment="1">
      <alignment vertical="center" wrapText="1"/>
    </xf>
    <xf numFmtId="0" fontId="19" fillId="0" borderId="0" xfId="3" applyFont="1" applyFill="1" applyBorder="1" applyAlignment="1">
      <alignment horizontal="center" vertical="center" wrapText="1"/>
    </xf>
    <xf numFmtId="0" fontId="21" fillId="0" borderId="0" xfId="3" applyFont="1" applyFill="1" applyBorder="1" applyAlignment="1" applyProtection="1">
      <alignment horizontal="center" vertical="center" wrapText="1"/>
      <protection locked="0"/>
    </xf>
    <xf numFmtId="0" fontId="16" fillId="0" borderId="0" xfId="3" quotePrefix="1" applyFont="1" applyFill="1" applyBorder="1" applyAlignment="1" applyProtection="1">
      <alignment horizontal="center" vertical="center" wrapText="1"/>
      <protection locked="0"/>
    </xf>
    <xf numFmtId="0" fontId="17" fillId="0" borderId="0" xfId="2" applyFont="1" applyFill="1" applyBorder="1" applyAlignment="1">
      <alignment horizontal="center" vertical="center"/>
    </xf>
    <xf numFmtId="0" fontId="15" fillId="0" borderId="0" xfId="3" applyFont="1" applyBorder="1" applyAlignment="1" applyProtection="1">
      <alignment vertical="center" wrapText="1"/>
      <protection locked="0"/>
    </xf>
    <xf numFmtId="0" fontId="0" fillId="4" borderId="0" xfId="0" applyFill="1" applyAlignment="1">
      <alignment horizontal="center"/>
    </xf>
    <xf numFmtId="0" fontId="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2" fillId="13" borderId="32" xfId="3" applyFont="1" applyFill="1" applyBorder="1" applyAlignment="1">
      <alignment horizontal="center" vertical="center" wrapText="1"/>
    </xf>
    <xf numFmtId="0" fontId="3" fillId="7" borderId="29" xfId="2" applyFont="1" applyFill="1" applyBorder="1" applyAlignment="1">
      <alignment vertical="center"/>
    </xf>
    <xf numFmtId="0" fontId="23" fillId="0" borderId="0" xfId="0" applyFont="1"/>
    <xf numFmtId="0" fontId="11" fillId="0" borderId="0" xfId="0" applyFont="1"/>
    <xf numFmtId="0" fontId="24" fillId="10" borderId="40" xfId="0" applyFont="1" applyFill="1" applyBorder="1" applyAlignment="1">
      <alignment horizontal="center" vertical="center" wrapText="1"/>
    </xf>
    <xf numFmtId="0" fontId="24" fillId="9" borderId="40" xfId="0" applyFont="1" applyFill="1" applyBorder="1" applyAlignment="1">
      <alignment horizontal="center" vertical="center"/>
    </xf>
    <xf numFmtId="0" fontId="0" fillId="4" borderId="0" xfId="0" applyFill="1"/>
    <xf numFmtId="0" fontId="14" fillId="4" borderId="31" xfId="0" applyFont="1" applyFill="1" applyBorder="1"/>
    <xf numFmtId="0" fontId="0" fillId="4" borderId="0" xfId="0" applyFill="1" applyAlignment="1">
      <alignment wrapText="1"/>
    </xf>
    <xf numFmtId="0" fontId="13" fillId="4" borderId="31" xfId="0" applyFont="1" applyFill="1" applyBorder="1"/>
    <xf numFmtId="0" fontId="0" fillId="4" borderId="0" xfId="0" applyFill="1" applyAlignment="1"/>
    <xf numFmtId="0" fontId="0" fillId="8" borderId="41" xfId="0" applyFill="1" applyBorder="1" applyAlignment="1">
      <alignment horizontal="center" vertical="center"/>
    </xf>
    <xf numFmtId="0" fontId="0" fillId="8" borderId="41" xfId="0" applyFill="1" applyBorder="1" applyAlignment="1">
      <alignment horizontal="center" vertical="center" wrapText="1"/>
    </xf>
    <xf numFmtId="0" fontId="28" fillId="13" borderId="32" xfId="3" applyFont="1" applyFill="1" applyBorder="1" applyAlignment="1">
      <alignment horizontal="center" vertical="center" wrapText="1"/>
    </xf>
    <xf numFmtId="0" fontId="3" fillId="4" borderId="0" xfId="2" applyFont="1" applyFill="1" applyBorder="1" applyAlignment="1">
      <alignment horizontal="center" vertical="center"/>
    </xf>
    <xf numFmtId="49" fontId="20" fillId="0" borderId="29" xfId="3" applyNumberFormat="1" applyFont="1" applyBorder="1" applyAlignment="1" applyProtection="1">
      <alignment horizontal="center" vertical="center" wrapText="1"/>
      <protection locked="0"/>
    </xf>
    <xf numFmtId="49" fontId="20" fillId="0" borderId="30" xfId="3" applyNumberFormat="1" applyFont="1" applyBorder="1" applyAlignment="1" applyProtection="1">
      <alignment horizontal="center" vertical="center" wrapText="1"/>
      <protection locked="0"/>
    </xf>
    <xf numFmtId="49" fontId="20" fillId="0" borderId="33" xfId="3" applyNumberFormat="1" applyFont="1" applyBorder="1" applyAlignment="1" applyProtection="1">
      <alignment horizontal="center" vertical="center" wrapText="1"/>
      <protection locked="0"/>
    </xf>
    <xf numFmtId="0" fontId="25" fillId="13" borderId="29" xfId="3" applyFont="1" applyFill="1" applyBorder="1" applyAlignment="1">
      <alignment horizontal="left" vertical="center" wrapText="1"/>
    </xf>
    <xf numFmtId="0" fontId="19" fillId="13" borderId="30" xfId="3" applyFont="1" applyFill="1" applyBorder="1" applyAlignment="1">
      <alignment horizontal="left" vertical="center" wrapText="1"/>
    </xf>
    <xf numFmtId="0" fontId="19" fillId="13" borderId="29" xfId="3" applyFont="1" applyFill="1" applyBorder="1" applyAlignment="1">
      <alignment horizontal="left" vertical="center" wrapText="1"/>
    </xf>
    <xf numFmtId="0" fontId="3" fillId="7" borderId="31" xfId="2" applyFont="1" applyFill="1" applyBorder="1" applyAlignment="1">
      <alignment horizontal="center" vertical="center"/>
    </xf>
    <xf numFmtId="0" fontId="3" fillId="7" borderId="0" xfId="2" applyFont="1" applyFill="1" applyBorder="1" applyAlignment="1">
      <alignment horizontal="center" vertical="center"/>
    </xf>
    <xf numFmtId="49" fontId="10" fillId="0" borderId="29" xfId="3" applyNumberFormat="1" applyFont="1" applyBorder="1" applyAlignment="1" applyProtection="1">
      <alignment horizontal="left" vertical="center" wrapText="1"/>
      <protection locked="0"/>
    </xf>
    <xf numFmtId="49" fontId="10" fillId="0" borderId="30" xfId="3" applyNumberFormat="1" applyFont="1" applyBorder="1" applyAlignment="1" applyProtection="1">
      <alignment horizontal="left" vertical="center" wrapText="1"/>
      <protection locked="0"/>
    </xf>
    <xf numFmtId="49" fontId="10" fillId="0" borderId="33" xfId="3" applyNumberFormat="1" applyFont="1" applyBorder="1" applyAlignment="1" applyProtection="1">
      <alignment horizontal="left" vertical="center" wrapText="1"/>
      <protection locked="0"/>
    </xf>
    <xf numFmtId="0" fontId="27" fillId="8" borderId="34" xfId="2" applyFont="1" applyFill="1" applyBorder="1" applyAlignment="1">
      <alignment horizontal="center" vertical="center" wrapText="1"/>
    </xf>
    <xf numFmtId="0" fontId="27" fillId="8" borderId="0" xfId="2" applyFont="1" applyFill="1" applyBorder="1" applyAlignment="1">
      <alignment horizontal="center" vertical="center" wrapText="1"/>
    </xf>
    <xf numFmtId="0" fontId="3" fillId="7" borderId="35" xfId="2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24" fillId="10" borderId="36" xfId="0" applyFont="1" applyFill="1" applyBorder="1" applyAlignment="1">
      <alignment horizontal="center" vertical="center"/>
    </xf>
    <xf numFmtId="0" fontId="24" fillId="10" borderId="37" xfId="0" applyFont="1" applyFill="1" applyBorder="1" applyAlignment="1">
      <alignment horizontal="center" vertical="center"/>
    </xf>
    <xf numFmtId="0" fontId="24" fillId="9" borderId="36" xfId="0" applyFont="1" applyFill="1" applyBorder="1" applyAlignment="1">
      <alignment horizontal="center" vertical="center"/>
    </xf>
    <xf numFmtId="0" fontId="24" fillId="9" borderId="37" xfId="0" applyFont="1" applyFill="1" applyBorder="1" applyAlignment="1">
      <alignment horizontal="center" vertical="center"/>
    </xf>
    <xf numFmtId="0" fontId="0" fillId="8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19" fillId="13" borderId="33" xfId="3" applyFont="1" applyFill="1" applyBorder="1" applyAlignment="1">
      <alignment horizontal="left" vertical="center" wrapText="1"/>
    </xf>
    <xf numFmtId="0" fontId="3" fillId="7" borderId="21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0" fillId="0" borderId="16" xfId="0" quotePrefix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3" borderId="17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0" fontId="0" fillId="3" borderId="1" xfId="0" quotePrefix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7" borderId="6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</cellXfs>
  <cellStyles count="4">
    <cellStyle name="Normal" xfId="0" builtinId="0"/>
    <cellStyle name="Normal 10 4" xfId="2"/>
    <cellStyle name="Normal 2 5" xfId="3"/>
    <cellStyle name="Porcentagem" xfId="1" builtinId="5"/>
  </cellStyles>
  <dxfs count="3"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colors>
    <mruColors>
      <color rgb="FFE4F5F3"/>
      <color rgb="FF0066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222222222222224E-2"/>
          <c:y val="0"/>
          <c:w val="0.79166666666666663"/>
          <c:h val="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A6-4A62-8821-B1537E6F9D6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A6-4A62-8821-B1537E6F9D66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3A6-4A62-8821-B1537E6F9D6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3A6-4A62-8821-B1537E6F9D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'Aux. Complexidade'!$A$16:$A$19</c:f>
              <c:strCache>
                <c:ptCount val="3"/>
                <c:pt idx="0">
                  <c:v>Pequena</c:v>
                </c:pt>
                <c:pt idx="1">
                  <c:v>Média</c:v>
                </c:pt>
                <c:pt idx="2">
                  <c:v>Grande</c:v>
                </c:pt>
              </c:strCache>
            </c:strRef>
          </c:cat>
          <c:val>
            <c:numRef>
              <c:f>'Aux. Complexidade'!$B$16:$B$19</c:f>
              <c:numCache>
                <c:formatCode>0.00</c:formatCode>
                <c:ptCount val="4"/>
                <c:pt idx="0">
                  <c:v>7</c:v>
                </c:pt>
                <c:pt idx="1">
                  <c:v>4.5</c:v>
                </c:pt>
                <c:pt idx="2">
                  <c:v>2.5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6-4A62-8821-B1537E6F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40"/>
      </c:doughnutChart>
      <c:pieChart>
        <c:varyColors val="1"/>
        <c:ser>
          <c:idx val="1"/>
          <c:order val="1"/>
          <c:tx>
            <c:v>Ponteiro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3A6-4A62-8821-B1537E6F9D6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3A6-4A62-8821-B1537E6F9D6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3A6-4A62-8821-B1537E6F9D66}"/>
              </c:ext>
            </c:extLst>
          </c:dPt>
          <c:val>
            <c:numRef>
              <c:f>'Aux. Complexidade'!$B$11:$B$13</c:f>
              <c:numCache>
                <c:formatCode>0.00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3A6-4A62-8821-B1537E6F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158751</xdr:colOff>
      <xdr:row>0</xdr:row>
      <xdr:rowOff>52154</xdr:rowOff>
    </xdr:from>
    <xdr:to>
      <xdr:col>6</xdr:col>
      <xdr:colOff>1675477</xdr:colOff>
      <xdr:row>0</xdr:row>
      <xdr:rowOff>538961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6B47151D-BE74-4836-A813-D4C67F303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1" y="52154"/>
          <a:ext cx="1516726" cy="486807"/>
        </a:xfrm>
        <a:prstGeom prst="rect">
          <a:avLst/>
        </a:prstGeom>
      </xdr:spPr>
    </xdr:pic>
    <xdr:clientData/>
  </xdr:twoCellAnchor>
  <xdr:twoCellAnchor editAs="oneCell">
    <xdr:from>
      <xdr:col>0</xdr:col>
      <xdr:colOff>26023</xdr:colOff>
      <xdr:row>8</xdr:row>
      <xdr:rowOff>44450</xdr:rowOff>
    </xdr:from>
    <xdr:to>
      <xdr:col>2</xdr:col>
      <xdr:colOff>1744940</xdr:colOff>
      <xdr:row>13</xdr:row>
      <xdr:rowOff>336550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081A40A-16D8-4AB3-BD37-CF7DB5BB42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47" t="37452" r="42870" b="406"/>
        <a:stretch/>
      </xdr:blipFill>
      <xdr:spPr>
        <a:xfrm>
          <a:off x="26023" y="2120900"/>
          <a:ext cx="3636617" cy="218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112278</xdr:colOff>
      <xdr:row>19</xdr:row>
      <xdr:rowOff>633223</xdr:rowOff>
    </xdr:from>
    <xdr:to>
      <xdr:col>1</xdr:col>
      <xdr:colOff>1678423</xdr:colOff>
      <xdr:row>21</xdr:row>
      <xdr:rowOff>204979</xdr:rowOff>
    </xdr:to>
    <xdr:pic>
      <xdr:nvPicPr>
        <xdr:cNvPr id="6" name="Imagem 5" descr="Vetores de Ícone De Presente Símbolo De Caixa De Presente e mais imagens de  Amor - iStock">
          <a:extLst>
            <a:ext uri="{FF2B5EF4-FFF2-40B4-BE49-F238E27FC236}">
              <a16:creationId xmlns:a16="http://schemas.microsoft.com/office/drawing/2014/main" id="{76296A64-9E2C-451D-9910-8ACAEC4D6FB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069" b="20072"/>
        <a:stretch/>
      </xdr:blipFill>
      <xdr:spPr bwMode="auto">
        <a:xfrm>
          <a:off x="112278" y="6332983"/>
          <a:ext cx="1680445" cy="9890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416283</xdr:colOff>
      <xdr:row>19</xdr:row>
      <xdr:rowOff>446532</xdr:rowOff>
    </xdr:from>
    <xdr:to>
      <xdr:col>6</xdr:col>
      <xdr:colOff>1458237</xdr:colOff>
      <xdr:row>21</xdr:row>
      <xdr:rowOff>605028</xdr:rowOff>
    </xdr:to>
    <xdr:pic>
      <xdr:nvPicPr>
        <xdr:cNvPr id="7" name="Imagem 6" descr="Os 9 elementos do Business Model Canvas - O blog de Marketing e Vendas">
          <a:extLst>
            <a:ext uri="{FF2B5EF4-FFF2-40B4-BE49-F238E27FC236}">
              <a16:creationId xmlns:a16="http://schemas.microsoft.com/office/drawing/2014/main" id="{1ED2C2D9-B5D0-4ED9-BBDE-00BF93CFA2C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63" r="23115"/>
        <a:stretch/>
      </xdr:blipFill>
      <xdr:spPr bwMode="auto">
        <a:xfrm>
          <a:off x="9484083" y="6146292"/>
          <a:ext cx="1041954" cy="15758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276225</xdr:colOff>
      <xdr:row>2</xdr:row>
      <xdr:rowOff>57150</xdr:rowOff>
    </xdr:to>
    <xdr:pic>
      <xdr:nvPicPr>
        <xdr:cNvPr id="2" name="Imagem 1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389" b="33031"/>
        <a:stretch/>
      </xdr:blipFill>
      <xdr:spPr>
        <a:xfrm>
          <a:off x="0" y="0"/>
          <a:ext cx="2105025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7936</xdr:rowOff>
    </xdr:from>
    <xdr:to>
      <xdr:col>17</xdr:col>
      <xdr:colOff>1</xdr:colOff>
      <xdr:row>3</xdr:row>
      <xdr:rowOff>145256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1113" y="7936"/>
          <a:ext cx="9341555" cy="687653"/>
        </a:xfrm>
        <a:prstGeom prst="rect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ysClr val="windowText" lastClr="000000"/>
              </a:solidFill>
            </a:rPr>
            <a:t>Formulário</a:t>
          </a:r>
          <a:r>
            <a:rPr lang="pt-BR" sz="1800" b="1" baseline="0">
              <a:solidFill>
                <a:sysClr val="windowText" lastClr="000000"/>
              </a:solidFill>
            </a:rPr>
            <a:t> de </a:t>
          </a:r>
          <a:r>
            <a:rPr lang="pt-BR" sz="1800" b="1">
              <a:solidFill>
                <a:sysClr val="windowText" lastClr="000000"/>
              </a:solidFill>
            </a:rPr>
            <a:t>Categorização de Projetos</a:t>
          </a:r>
        </a:p>
      </xdr:txBody>
    </xdr:sp>
    <xdr:clientData/>
  </xdr:twoCellAnchor>
  <xdr:twoCellAnchor>
    <xdr:from>
      <xdr:col>0</xdr:col>
      <xdr:colOff>28575</xdr:colOff>
      <xdr:row>8</xdr:row>
      <xdr:rowOff>209550</xdr:rowOff>
    </xdr:from>
    <xdr:to>
      <xdr:col>0</xdr:col>
      <xdr:colOff>85725</xdr:colOff>
      <xdr:row>12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575" y="2124075"/>
          <a:ext cx="57150" cy="3048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39157</xdr:colOff>
      <xdr:row>12</xdr:row>
      <xdr:rowOff>187324</xdr:rowOff>
    </xdr:from>
    <xdr:to>
      <xdr:col>0</xdr:col>
      <xdr:colOff>123612</xdr:colOff>
      <xdr:row>20</xdr:row>
      <xdr:rowOff>4726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9157" y="2649713"/>
          <a:ext cx="84455" cy="202579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91723</xdr:colOff>
      <xdr:row>20</xdr:row>
      <xdr:rowOff>303388</xdr:rowOff>
    </xdr:from>
    <xdr:to>
      <xdr:col>12</xdr:col>
      <xdr:colOff>164219</xdr:colOff>
      <xdr:row>33</xdr:row>
      <xdr:rowOff>7055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550332</xdr:colOff>
      <xdr:row>0</xdr:row>
      <xdr:rowOff>105834</xdr:rowOff>
    </xdr:from>
    <xdr:to>
      <xdr:col>16</xdr:col>
      <xdr:colOff>415566</xdr:colOff>
      <xdr:row>3</xdr:row>
      <xdr:rowOff>34993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C2218BEA-0EF8-4A26-8341-09D41800D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9999" y="105834"/>
          <a:ext cx="1700384" cy="4917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4</xdr:row>
      <xdr:rowOff>137320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300" y="76200"/>
          <a:ext cx="6067425" cy="708820"/>
        </a:xfrm>
        <a:prstGeom prst="rect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/>
              </a:solidFill>
            </a:rPr>
            <a:t>Formulário</a:t>
          </a:r>
          <a:r>
            <a:rPr lang="pt-BR" sz="1800" b="1" baseline="0">
              <a:solidFill>
                <a:schemeClr val="tx2"/>
              </a:solidFill>
            </a:rPr>
            <a:t> de </a:t>
          </a:r>
          <a:r>
            <a:rPr lang="pt-BR" sz="1800" b="1">
              <a:solidFill>
                <a:schemeClr val="tx2"/>
              </a:solidFill>
            </a:rPr>
            <a:t>Categorização de Projetos</a:t>
          </a:r>
        </a:p>
      </xdr:txBody>
    </xdr:sp>
    <xdr:clientData/>
  </xdr:twoCellAnchor>
  <xdr:twoCellAnchor editAs="oneCell">
    <xdr:from>
      <xdr:col>5</xdr:col>
      <xdr:colOff>242017</xdr:colOff>
      <xdr:row>2</xdr:row>
      <xdr:rowOff>6539</xdr:rowOff>
    </xdr:from>
    <xdr:to>
      <xdr:col>5</xdr:col>
      <xdr:colOff>1172618</xdr:colOff>
      <xdr:row>3</xdr:row>
      <xdr:rowOff>85179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754E727-5BF9-4856-BB5A-95ACB8AA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967" y="273239"/>
          <a:ext cx="930601" cy="2691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45</xdr:row>
      <xdr:rowOff>47625</xdr:rowOff>
    </xdr:from>
    <xdr:to>
      <xdr:col>3</xdr:col>
      <xdr:colOff>9526</xdr:colOff>
      <xdr:row>47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8B8A20C-1A9F-4A69-9078-042BB026C098}"/>
            </a:ext>
          </a:extLst>
        </xdr:cNvPr>
        <xdr:cNvSpPr/>
      </xdr:nvSpPr>
      <xdr:spPr>
        <a:xfrm>
          <a:off x="10277476" y="8620125"/>
          <a:ext cx="1238250" cy="40957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4"/>
  <sheetViews>
    <sheetView showGridLines="0" tabSelected="1" workbookViewId="0">
      <selection sqref="A1:H1"/>
    </sheetView>
  </sheetViews>
  <sheetFormatPr defaultColWidth="0" defaultRowHeight="15" zeroHeight="1" x14ac:dyDescent="0.25"/>
  <cols>
    <col min="1" max="1" width="1.5703125" customWidth="1"/>
    <col min="2" max="2" width="25.85546875" customWidth="1"/>
    <col min="3" max="3" width="25.5703125" customWidth="1"/>
    <col min="4" max="4" width="26.85546875" customWidth="1"/>
    <col min="5" max="5" width="26.5703125" customWidth="1"/>
    <col min="6" max="7" width="25.5703125" customWidth="1"/>
    <col min="8" max="8" width="1.42578125" customWidth="1"/>
    <col min="9" max="16384" width="8.85546875" hidden="1"/>
  </cols>
  <sheetData>
    <row r="1" spans="1:8" ht="44.1" customHeight="1" x14ac:dyDescent="0.25">
      <c r="A1" s="85" t="s">
        <v>109</v>
      </c>
      <c r="B1" s="86"/>
      <c r="C1" s="86"/>
      <c r="D1" s="86"/>
      <c r="E1" s="86"/>
      <c r="F1" s="86"/>
      <c r="G1" s="86"/>
      <c r="H1" s="86"/>
    </row>
    <row r="2" spans="1:8" ht="6.6" customHeight="1" x14ac:dyDescent="0.25">
      <c r="A2" s="41"/>
      <c r="B2" s="41"/>
      <c r="C2" s="41"/>
      <c r="D2" s="41"/>
      <c r="E2" s="41"/>
      <c r="F2" s="41"/>
      <c r="G2" s="41"/>
    </row>
    <row r="3" spans="1:8" s="61" customFormat="1" ht="23.25" x14ac:dyDescent="0.35">
      <c r="A3" s="60"/>
      <c r="B3" s="81" t="s">
        <v>110</v>
      </c>
      <c r="C3" s="81"/>
      <c r="D3" s="81"/>
      <c r="E3" s="81"/>
      <c r="F3" s="87" t="s">
        <v>128</v>
      </c>
      <c r="G3" s="81"/>
      <c r="H3" s="81"/>
    </row>
    <row r="4" spans="1:8" ht="6" customHeight="1" x14ac:dyDescent="0.25">
      <c r="A4" s="42"/>
      <c r="B4" s="43"/>
      <c r="C4" s="41"/>
      <c r="D4" s="41"/>
      <c r="E4" s="41"/>
      <c r="F4" s="41"/>
      <c r="G4" s="41"/>
    </row>
    <row r="5" spans="1:8" ht="24.95" customHeight="1" x14ac:dyDescent="0.25">
      <c r="A5" s="42"/>
      <c r="B5" s="72" t="s">
        <v>125</v>
      </c>
      <c r="C5" s="49"/>
      <c r="D5" s="72" t="s">
        <v>136</v>
      </c>
      <c r="E5" s="50"/>
      <c r="F5" s="72" t="s">
        <v>139</v>
      </c>
      <c r="G5" s="49"/>
    </row>
    <row r="6" spans="1:8" ht="24.95" customHeight="1" x14ac:dyDescent="0.25">
      <c r="A6" s="42"/>
      <c r="B6" s="72" t="s">
        <v>126</v>
      </c>
      <c r="C6" s="49"/>
      <c r="D6" s="72" t="s">
        <v>137</v>
      </c>
      <c r="E6" s="49"/>
      <c r="F6" s="72" t="s">
        <v>140</v>
      </c>
      <c r="G6" s="49"/>
    </row>
    <row r="7" spans="1:8" ht="9.9499999999999993" customHeight="1" x14ac:dyDescent="0.25">
      <c r="A7" s="42"/>
      <c r="B7" s="51"/>
      <c r="C7" s="52"/>
      <c r="D7" s="51"/>
      <c r="E7" s="52"/>
      <c r="F7" s="51"/>
      <c r="G7" s="53"/>
    </row>
    <row r="8" spans="1:8" ht="23.25" x14ac:dyDescent="0.25">
      <c r="A8" s="80" t="s">
        <v>111</v>
      </c>
      <c r="B8" s="81"/>
      <c r="C8" s="81"/>
      <c r="D8" s="81"/>
      <c r="E8" s="81"/>
      <c r="F8" s="81"/>
      <c r="G8" s="81"/>
      <c r="H8" s="81"/>
    </row>
    <row r="9" spans="1:8" ht="5.0999999999999996" customHeight="1" x14ac:dyDescent="0.25">
      <c r="A9" s="48"/>
      <c r="B9" s="54"/>
      <c r="C9" s="54"/>
      <c r="D9" s="47"/>
      <c r="E9" s="47"/>
      <c r="F9" s="47"/>
      <c r="G9" s="47"/>
    </row>
    <row r="10" spans="1:8" ht="30" customHeight="1" x14ac:dyDescent="0.25">
      <c r="A10" s="42"/>
      <c r="B10" s="55"/>
      <c r="C10" s="55"/>
      <c r="D10" s="59" t="s">
        <v>122</v>
      </c>
      <c r="E10" s="82" t="s">
        <v>91</v>
      </c>
      <c r="F10" s="83"/>
      <c r="G10" s="84"/>
      <c r="H10" s="62" t="str" cm="1">
        <f t="array" ref="H10">_xlfn.IFS(E10='Listas Suspensas'!B1,'Listas Suspensas'!A1,E10='Listas Suspensas'!B2,'Listas Suspensas'!A2,E10='Listas Suspensas'!B3,'Listas Suspensas'!A3,E10='Listas Suspensas'!B4,'Listas Suspensas'!A4)</f>
        <v>Sustentabilidade</v>
      </c>
    </row>
    <row r="11" spans="1:8" ht="42" customHeight="1" x14ac:dyDescent="0.25">
      <c r="A11" s="42"/>
      <c r="B11" s="55"/>
      <c r="C11" s="55" t="s">
        <v>130</v>
      </c>
      <c r="D11" s="79" t="s">
        <v>123</v>
      </c>
      <c r="E11" s="95"/>
      <c r="F11" s="74" t="s">
        <v>132</v>
      </c>
      <c r="G11" s="76"/>
    </row>
    <row r="12" spans="1:8" ht="42" customHeight="1" x14ac:dyDescent="0.25">
      <c r="A12" s="42"/>
      <c r="B12" s="55"/>
      <c r="C12" s="55" t="s">
        <v>130</v>
      </c>
      <c r="D12" s="79" t="s">
        <v>129</v>
      </c>
      <c r="E12" s="95"/>
      <c r="F12" s="74"/>
      <c r="G12" s="76"/>
    </row>
    <row r="13" spans="1:8" ht="30" customHeight="1" x14ac:dyDescent="0.25">
      <c r="A13" s="42"/>
      <c r="B13" s="55"/>
      <c r="D13" s="59" t="s">
        <v>124</v>
      </c>
      <c r="E13" s="82" t="s">
        <v>102</v>
      </c>
      <c r="F13" s="83"/>
      <c r="G13" s="84"/>
    </row>
    <row r="14" spans="1:8" ht="42" customHeight="1" x14ac:dyDescent="0.25">
      <c r="A14" s="42"/>
      <c r="B14" s="55"/>
      <c r="C14" s="55" t="s">
        <v>130</v>
      </c>
      <c r="D14" s="79" t="s">
        <v>133</v>
      </c>
      <c r="E14" s="95"/>
      <c r="F14" s="74"/>
      <c r="G14" s="76"/>
    </row>
    <row r="15" spans="1:8" ht="5.0999999999999996" customHeight="1" x14ac:dyDescent="0.25">
      <c r="A15" s="42"/>
      <c r="B15" s="41"/>
      <c r="C15" s="41"/>
      <c r="D15" s="44"/>
      <c r="E15" s="41"/>
      <c r="F15" s="41"/>
      <c r="G15" s="41"/>
    </row>
    <row r="16" spans="1:8" ht="23.25" x14ac:dyDescent="0.25">
      <c r="A16" s="80" t="s">
        <v>112</v>
      </c>
      <c r="B16" s="81"/>
      <c r="C16" s="81"/>
      <c r="D16" s="81"/>
      <c r="E16" s="81"/>
      <c r="F16" s="81"/>
      <c r="G16" s="81"/>
      <c r="H16" s="81"/>
    </row>
    <row r="17" spans="1:9" ht="33.950000000000003" customHeight="1" x14ac:dyDescent="0.25">
      <c r="A17" s="73"/>
      <c r="B17" s="59" t="s">
        <v>138</v>
      </c>
      <c r="C17" s="74"/>
      <c r="D17" s="75"/>
      <c r="E17" s="75"/>
      <c r="F17" s="75"/>
      <c r="G17" s="76"/>
      <c r="H17" s="73"/>
    </row>
    <row r="18" spans="1:9" x14ac:dyDescent="0.25">
      <c r="A18" s="65"/>
      <c r="B18" s="65"/>
      <c r="C18" s="65"/>
      <c r="D18" s="65"/>
      <c r="E18" s="65"/>
      <c r="F18" s="65"/>
      <c r="G18" s="65"/>
      <c r="H18" s="65"/>
    </row>
    <row r="19" spans="1:9" ht="24.95" customHeight="1" thickBot="1" x14ac:dyDescent="0.3">
      <c r="A19" s="66"/>
      <c r="B19" s="67" t="s">
        <v>131</v>
      </c>
      <c r="C19" s="89" t="s">
        <v>114</v>
      </c>
      <c r="D19" s="90"/>
      <c r="E19" s="91" t="s">
        <v>115</v>
      </c>
      <c r="F19" s="92"/>
      <c r="G19" s="65"/>
      <c r="H19" s="65"/>
    </row>
    <row r="20" spans="1:9" ht="90.75" thickTop="1" x14ac:dyDescent="0.25">
      <c r="A20" s="68"/>
      <c r="B20" s="67" t="s">
        <v>134</v>
      </c>
      <c r="C20" s="93"/>
      <c r="D20" s="94"/>
      <c r="E20" s="93"/>
      <c r="F20" s="94"/>
      <c r="G20" s="65"/>
      <c r="H20" s="65"/>
    </row>
    <row r="21" spans="1:9" ht="24.95" customHeight="1" thickBot="1" x14ac:dyDescent="0.3">
      <c r="A21" s="68"/>
      <c r="B21" s="65"/>
      <c r="C21" s="63" t="s">
        <v>116</v>
      </c>
      <c r="D21" s="63" t="s">
        <v>117</v>
      </c>
      <c r="E21" s="64" t="s">
        <v>118</v>
      </c>
      <c r="F21" s="64" t="s">
        <v>119</v>
      </c>
      <c r="G21" s="65"/>
      <c r="H21" s="65"/>
    </row>
    <row r="22" spans="1:9" ht="90.75" thickTop="1" x14ac:dyDescent="0.25">
      <c r="A22" s="68"/>
      <c r="B22" s="67" t="s">
        <v>134</v>
      </c>
      <c r="C22" s="71"/>
      <c r="D22" s="71"/>
      <c r="E22" s="70"/>
      <c r="F22" s="70"/>
      <c r="G22" s="65"/>
      <c r="H22" s="65"/>
    </row>
    <row r="23" spans="1:9" x14ac:dyDescent="0.25">
      <c r="A23" s="68"/>
      <c r="B23" s="56"/>
      <c r="C23" s="56"/>
      <c r="D23" s="65"/>
      <c r="E23" s="69"/>
      <c r="F23" s="88"/>
      <c r="G23" s="88"/>
      <c r="H23" s="65"/>
    </row>
    <row r="24" spans="1:9" ht="23.25" x14ac:dyDescent="0.25">
      <c r="A24" s="80" t="s">
        <v>113</v>
      </c>
      <c r="B24" s="81"/>
      <c r="C24" s="81"/>
      <c r="D24" s="81"/>
      <c r="E24" s="81"/>
      <c r="F24" s="81"/>
      <c r="G24" s="81"/>
      <c r="H24" s="81"/>
    </row>
    <row r="25" spans="1:9" ht="6" customHeight="1" x14ac:dyDescent="0.25">
      <c r="A25" s="45"/>
      <c r="B25" s="46"/>
      <c r="C25" s="41"/>
      <c r="D25" s="41"/>
      <c r="E25" s="41"/>
      <c r="F25" s="41"/>
      <c r="G25" s="41"/>
    </row>
    <row r="26" spans="1:9" ht="35.1" customHeight="1" x14ac:dyDescent="0.25">
      <c r="B26" s="77" t="s">
        <v>135</v>
      </c>
      <c r="C26" s="78"/>
      <c r="D26" s="78"/>
      <c r="E26" s="74"/>
      <c r="F26" s="75"/>
      <c r="G26" s="76"/>
      <c r="H26" s="57"/>
      <c r="I26" s="57"/>
    </row>
    <row r="27" spans="1:9" ht="35.1" customHeight="1" x14ac:dyDescent="0.25">
      <c r="B27" s="79" t="s">
        <v>77</v>
      </c>
      <c r="C27" s="78"/>
      <c r="D27" s="78"/>
      <c r="E27" s="74"/>
      <c r="F27" s="75"/>
      <c r="G27" s="76"/>
      <c r="H27" s="57"/>
      <c r="I27" s="57"/>
    </row>
    <row r="28" spans="1:9" ht="35.1" customHeight="1" x14ac:dyDescent="0.25">
      <c r="B28" s="79" t="s">
        <v>78</v>
      </c>
      <c r="C28" s="78"/>
      <c r="D28" s="78"/>
      <c r="E28" s="74"/>
      <c r="F28" s="75"/>
      <c r="G28" s="76"/>
      <c r="H28" s="58"/>
      <c r="I28" s="58"/>
    </row>
    <row r="29" spans="1:9" ht="35.1" customHeight="1" x14ac:dyDescent="0.25">
      <c r="B29" s="79" t="s">
        <v>79</v>
      </c>
      <c r="C29" s="78"/>
      <c r="D29" s="78"/>
      <c r="E29" s="74"/>
      <c r="F29" s="75"/>
      <c r="G29" s="76"/>
      <c r="H29" s="58"/>
      <c r="I29" s="58"/>
    </row>
    <row r="30" spans="1:9" ht="35.1" customHeight="1" x14ac:dyDescent="0.25">
      <c r="B30" s="79" t="s">
        <v>80</v>
      </c>
      <c r="C30" s="78"/>
      <c r="D30" s="78"/>
      <c r="E30" s="74"/>
      <c r="F30" s="75"/>
      <c r="G30" s="76"/>
      <c r="H30" s="58"/>
      <c r="I30" s="58"/>
    </row>
    <row r="31" spans="1:9" ht="35.1" customHeight="1" x14ac:dyDescent="0.25">
      <c r="B31" s="79" t="s">
        <v>127</v>
      </c>
      <c r="C31" s="78"/>
      <c r="D31" s="78"/>
      <c r="E31" s="74"/>
      <c r="F31" s="75"/>
      <c r="G31" s="76"/>
      <c r="H31" s="58"/>
      <c r="I31" s="58"/>
    </row>
    <row r="32" spans="1:9" ht="35.1" customHeight="1" x14ac:dyDescent="0.25">
      <c r="B32" s="79" t="s">
        <v>120</v>
      </c>
      <c r="C32" s="78"/>
      <c r="D32" s="78"/>
      <c r="E32" s="74"/>
      <c r="F32" s="75"/>
      <c r="G32" s="76"/>
    </row>
    <row r="33" spans="2:7" ht="35.1" customHeight="1" x14ac:dyDescent="0.25">
      <c r="B33" s="79" t="s">
        <v>121</v>
      </c>
      <c r="C33" s="78"/>
      <c r="D33" s="78"/>
      <c r="E33" s="74"/>
      <c r="F33" s="75"/>
      <c r="G33" s="76"/>
    </row>
    <row r="34" spans="2:7" ht="7.5" customHeight="1" x14ac:dyDescent="0.25"/>
  </sheetData>
  <mergeCells count="36">
    <mergeCell ref="A1:H1"/>
    <mergeCell ref="F3:H3"/>
    <mergeCell ref="A8:H8"/>
    <mergeCell ref="B27:D27"/>
    <mergeCell ref="B28:D28"/>
    <mergeCell ref="F23:G23"/>
    <mergeCell ref="C19:D19"/>
    <mergeCell ref="E19:F19"/>
    <mergeCell ref="E20:F20"/>
    <mergeCell ref="C20:D20"/>
    <mergeCell ref="B3:E3"/>
    <mergeCell ref="E10:G10"/>
    <mergeCell ref="D11:E11"/>
    <mergeCell ref="D12:E12"/>
    <mergeCell ref="D14:E14"/>
    <mergeCell ref="F11:G11"/>
    <mergeCell ref="A16:H16"/>
    <mergeCell ref="A24:H24"/>
    <mergeCell ref="F12:G12"/>
    <mergeCell ref="E13:G13"/>
    <mergeCell ref="F14:G14"/>
    <mergeCell ref="C17:G17"/>
    <mergeCell ref="E32:G32"/>
    <mergeCell ref="E33:G33"/>
    <mergeCell ref="B26:D26"/>
    <mergeCell ref="B30:D30"/>
    <mergeCell ref="B32:D32"/>
    <mergeCell ref="B33:D33"/>
    <mergeCell ref="E26:G26"/>
    <mergeCell ref="B29:D29"/>
    <mergeCell ref="B31:D31"/>
    <mergeCell ref="E27:G27"/>
    <mergeCell ref="E28:G28"/>
    <mergeCell ref="E29:G29"/>
    <mergeCell ref="E30:G30"/>
    <mergeCell ref="E31:G31"/>
  </mergeCells>
  <dataValidations count="7">
    <dataValidation type="list" allowBlank="1" showInputMessage="1" showErrorMessage="1" sqref="E13:G13">
      <formula1>INDIRECT($H$10)</formula1>
    </dataValidation>
    <dataValidation allowBlank="1" showInputMessage="1" showErrorMessage="1" prompt="Quais tarefas funcionais, sociais e emocionais seus clientes estão tentando realizar? Quais necessidades básicas querem satisfazer?" sqref="E19:F19"/>
    <dataValidation allowBlank="1" showInputMessage="1" showErrorMessage="1" prompt="Quais são as principais dificuldades e desafios que seus clientes encontram? Quais as consequências negativas que eles enfrentam? Quais riscos seus clientes têm medo? " sqref="E21"/>
    <dataValidation allowBlank="1" showInputMessage="1" showErrorMessage="1" prompt="Quais resultados seus clientes esperam ter e o que iria além das expectativas deles? Quais soluções atuais encantam seus clientes? O que faria as tarefas dos seus clientes mais fáceis para eles? O que os seus clientes estão procurando?" sqref="F21"/>
    <dataValidation allowBlank="1" showInputMessage="1" showErrorMessage="1" prompt="Quais produtos e serviços você pode oferecer para ajudar o seu cliente a realizar as tarefas ou satisfazerm as necessidades básicas?" sqref="C19:D19"/>
    <dataValidation allowBlank="1" showInputMessage="1" showErrorMessage="1" prompt="Seu produto ou serviço coloca um fim nas dificuldades e desafios que seus clientes enfrentam? Eliminam riscos que seus clientes tem medo? Produz economia pro cliente?" sqref="C21"/>
    <dataValidation allowBlank="1" showInputMessage="1" showErrorMessage="1" prompt="Seu produto ou serviço produz resultados que seus clientes esperam? Fazem as tarefas do seu cliente mais fácil? Preenchem algo que os clientes estão buscando? Produz resultados positivos?" sqref="D21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Suspensas'!$B$1:$B$4</xm:f>
          </x14:formula1>
          <xm:sqref>E10:G10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16"/>
  <sheetViews>
    <sheetView showGridLines="0" workbookViewId="0">
      <selection activeCell="D13" sqref="D13"/>
    </sheetView>
  </sheetViews>
  <sheetFormatPr defaultRowHeight="15" x14ac:dyDescent="0.25"/>
  <cols>
    <col min="1" max="1" width="2.140625" style="26" customWidth="1"/>
    <col min="2" max="2" width="37" style="26" customWidth="1"/>
    <col min="3" max="3" width="1.85546875" style="26" customWidth="1"/>
    <col min="4" max="4" width="60.5703125" style="26" customWidth="1"/>
    <col min="5" max="5" width="1.85546875" style="26" customWidth="1"/>
    <col min="6" max="6" width="60.5703125" style="26" customWidth="1"/>
  </cols>
  <sheetData>
    <row r="1" spans="1:6" ht="16.5" thickTop="1" thickBot="1" x14ac:dyDescent="0.3">
      <c r="A1" s="24" t="s">
        <v>81</v>
      </c>
      <c r="B1" s="25" t="s">
        <v>75</v>
      </c>
      <c r="D1" s="27" t="s">
        <v>75</v>
      </c>
      <c r="F1" s="28" t="s">
        <v>82</v>
      </c>
    </row>
    <row r="2" spans="1:6" ht="35.25" thickTop="1" thickBot="1" x14ac:dyDescent="0.3">
      <c r="A2" s="24" t="s">
        <v>83</v>
      </c>
      <c r="B2" s="29" t="s">
        <v>82</v>
      </c>
      <c r="D2" s="30" t="s">
        <v>84</v>
      </c>
      <c r="F2" s="31" t="s">
        <v>85</v>
      </c>
    </row>
    <row r="3" spans="1:6" ht="23.25" thickBot="1" x14ac:dyDescent="0.3">
      <c r="A3" s="24" t="s">
        <v>86</v>
      </c>
      <c r="B3" s="29" t="s">
        <v>87</v>
      </c>
      <c r="D3" s="31" t="s">
        <v>88</v>
      </c>
      <c r="F3" s="31" t="s">
        <v>89</v>
      </c>
    </row>
    <row r="4" spans="1:6" ht="23.25" thickBot="1" x14ac:dyDescent="0.3">
      <c r="A4" s="24" t="s">
        <v>90</v>
      </c>
      <c r="B4" s="29" t="s">
        <v>91</v>
      </c>
      <c r="D4" s="31" t="s">
        <v>92</v>
      </c>
      <c r="F4" s="31" t="s">
        <v>93</v>
      </c>
    </row>
    <row r="5" spans="1:6" ht="23.25" thickBot="1" x14ac:dyDescent="0.3">
      <c r="B5" s="32"/>
      <c r="D5" s="31" t="s">
        <v>94</v>
      </c>
      <c r="F5" s="31" t="s">
        <v>95</v>
      </c>
    </row>
    <row r="6" spans="1:6" ht="23.25" thickBot="1" x14ac:dyDescent="0.3">
      <c r="B6" s="33"/>
      <c r="D6" s="31" t="s">
        <v>96</v>
      </c>
      <c r="F6" s="31" t="s">
        <v>97</v>
      </c>
    </row>
    <row r="7" spans="1:6" ht="23.25" thickBot="1" x14ac:dyDescent="0.3">
      <c r="B7" s="34"/>
      <c r="D7" s="31" t="s">
        <v>98</v>
      </c>
    </row>
    <row r="8" spans="1:6" ht="15.75" thickBot="1" x14ac:dyDescent="0.3">
      <c r="D8" s="31" t="s">
        <v>76</v>
      </c>
    </row>
    <row r="9" spans="1:6" ht="15.75" thickBot="1" x14ac:dyDescent="0.3"/>
    <row r="10" spans="1:6" ht="15.75" thickBot="1" x14ac:dyDescent="0.3">
      <c r="D10" s="28" t="s">
        <v>87</v>
      </c>
      <c r="F10" s="28" t="s">
        <v>91</v>
      </c>
    </row>
    <row r="11" spans="1:6" ht="34.5" thickBot="1" x14ac:dyDescent="0.3">
      <c r="D11" s="31" t="s">
        <v>99</v>
      </c>
      <c r="F11" s="31" t="s">
        <v>100</v>
      </c>
    </row>
    <row r="12" spans="1:6" ht="23.25" thickBot="1" x14ac:dyDescent="0.3">
      <c r="D12" s="31" t="s">
        <v>101</v>
      </c>
      <c r="F12" s="31" t="s">
        <v>102</v>
      </c>
    </row>
    <row r="13" spans="1:6" ht="23.25" thickBot="1" x14ac:dyDescent="0.3">
      <c r="D13" s="31" t="s">
        <v>103</v>
      </c>
      <c r="F13" s="31" t="s">
        <v>104</v>
      </c>
    </row>
    <row r="14" spans="1:6" ht="23.25" thickBot="1" x14ac:dyDescent="0.3">
      <c r="D14" s="31" t="s">
        <v>105</v>
      </c>
    </row>
    <row r="15" spans="1:6" ht="23.25" thickBot="1" x14ac:dyDescent="0.3">
      <c r="D15" s="31" t="s">
        <v>106</v>
      </c>
    </row>
    <row r="16" spans="1:6" ht="15.75" thickBot="1" x14ac:dyDescent="0.3">
      <c r="D16" s="31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R34"/>
  <sheetViews>
    <sheetView showGridLines="0" zoomScale="90" zoomScaleNormal="90" workbookViewId="0">
      <selection activeCell="K14" sqref="K14:Q20"/>
    </sheetView>
  </sheetViews>
  <sheetFormatPr defaultColWidth="0" defaultRowHeight="15" zeroHeight="1" x14ac:dyDescent="0.25"/>
  <cols>
    <col min="1" max="1" width="2" customWidth="1"/>
    <col min="2" max="2" width="9.140625" customWidth="1"/>
    <col min="3" max="8" width="8.85546875" customWidth="1"/>
    <col min="9" max="9" width="9.140625" customWidth="1"/>
    <col min="10" max="10" width="2.5703125" customWidth="1"/>
    <col min="11" max="17" width="8.85546875" customWidth="1"/>
    <col min="18" max="18" width="1.42578125" customWidth="1"/>
    <col min="19" max="16384" width="8.85546875" hidden="1"/>
  </cols>
  <sheetData>
    <row r="1" spans="1:17" x14ac:dyDescent="0.25">
      <c r="B1" s="10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</row>
    <row r="2" spans="1:17" x14ac:dyDescent="0.25">
      <c r="B2" s="1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14"/>
    </row>
    <row r="3" spans="1:17" x14ac:dyDescent="0.25">
      <c r="B3" s="1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14"/>
    </row>
    <row r="4" spans="1:17" ht="15.75" customHeight="1" thickBot="1" x14ac:dyDescent="0.3">
      <c r="B4" s="1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14"/>
    </row>
    <row r="5" spans="1:17" ht="24" hidden="1" thickBot="1" x14ac:dyDescent="0.4">
      <c r="B5" s="103" t="s">
        <v>9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</row>
    <row r="6" spans="1:17" ht="5.0999999999999996" hidden="1" customHeight="1" x14ac:dyDescent="0.35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</row>
    <row r="7" spans="1:17" ht="41.1" hidden="1" customHeight="1" x14ac:dyDescent="0.25">
      <c r="B7" s="106" t="s">
        <v>74</v>
      </c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8"/>
    </row>
    <row r="8" spans="1:17" ht="5.0999999999999996" hidden="1" customHeight="1" thickBot="1" x14ac:dyDescent="0.3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9"/>
    </row>
    <row r="9" spans="1:17" ht="24" hidden="1" thickBot="1" x14ac:dyDescent="0.3">
      <c r="B9" s="98" t="s">
        <v>8</v>
      </c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100"/>
    </row>
    <row r="10" spans="1:17" ht="5.0999999999999996" hidden="1" customHeight="1" x14ac:dyDescent="0.25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2"/>
    </row>
    <row r="11" spans="1:17" hidden="1" x14ac:dyDescent="0.25">
      <c r="B11" s="112" t="s">
        <v>7</v>
      </c>
      <c r="C11" s="109"/>
      <c r="D11" s="110"/>
      <c r="E11" s="110"/>
      <c r="F11" s="110"/>
      <c r="G11" s="110"/>
      <c r="H11" s="110"/>
      <c r="I11" s="110"/>
      <c r="J11" s="3"/>
      <c r="K11" s="109" t="s">
        <v>43</v>
      </c>
      <c r="L11" s="109"/>
      <c r="M11" s="110"/>
      <c r="N11" s="110"/>
      <c r="O11" s="110"/>
      <c r="P11" s="110"/>
      <c r="Q11" s="111"/>
    </row>
    <row r="12" spans="1:17" ht="5.0999999999999996" hidden="1" customHeight="1" thickBot="1" x14ac:dyDescent="0.3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1:17" ht="24" thickBot="1" x14ac:dyDescent="0.3">
      <c r="B13" s="96" t="s">
        <v>11</v>
      </c>
      <c r="C13" s="97"/>
      <c r="D13" s="97"/>
      <c r="E13" s="97"/>
      <c r="F13" s="97"/>
      <c r="G13" s="97"/>
      <c r="H13" s="97"/>
      <c r="I13" s="97"/>
      <c r="J13" s="97"/>
      <c r="K13" s="21"/>
      <c r="L13" s="21"/>
      <c r="M13" s="21"/>
      <c r="N13" s="21"/>
      <c r="O13" s="21"/>
      <c r="P13" s="21"/>
      <c r="Q13" s="22"/>
    </row>
    <row r="14" spans="1:17" ht="20.100000000000001" customHeight="1" x14ac:dyDescent="0.25">
      <c r="A14" t="str">
        <f t="shared" ref="A14:A20" si="0">B14&amp;K14</f>
        <v>Duração do projeto:Até 1 mês</v>
      </c>
      <c r="B14" s="118" t="s">
        <v>25</v>
      </c>
      <c r="C14" s="118"/>
      <c r="D14" s="118"/>
      <c r="E14" s="118"/>
      <c r="F14" s="118"/>
      <c r="G14" s="118"/>
      <c r="H14" s="118"/>
      <c r="I14" s="118"/>
      <c r="J14" s="118"/>
      <c r="K14" s="113" t="s">
        <v>62</v>
      </c>
      <c r="L14" s="113"/>
      <c r="M14" s="113"/>
      <c r="N14" s="113"/>
      <c r="O14" s="113"/>
      <c r="P14" s="113"/>
      <c r="Q14" s="114"/>
    </row>
    <row r="15" spans="1:17" ht="20.100000000000001" customHeight="1" x14ac:dyDescent="0.25">
      <c r="A15" t="str">
        <f t="shared" si="0"/>
        <v>Investimento total:Até R$ 100.000</v>
      </c>
      <c r="B15" s="119" t="s">
        <v>24</v>
      </c>
      <c r="C15" s="119"/>
      <c r="D15" s="119"/>
      <c r="E15" s="119"/>
      <c r="F15" s="119"/>
      <c r="G15" s="119"/>
      <c r="H15" s="119"/>
      <c r="I15" s="119"/>
      <c r="J15" s="119"/>
      <c r="K15" s="101" t="s">
        <v>59</v>
      </c>
      <c r="L15" s="101"/>
      <c r="M15" s="101"/>
      <c r="N15" s="101"/>
      <c r="O15" s="101"/>
      <c r="P15" s="101"/>
      <c r="Q15" s="102"/>
    </row>
    <row r="16" spans="1:17" ht="20.100000000000001" customHeight="1" x14ac:dyDescent="0.25">
      <c r="A16" t="str">
        <f t="shared" si="0"/>
        <v>É necessário criar um novo contrato com o fornecedor?Não</v>
      </c>
      <c r="B16" s="119" t="s">
        <v>40</v>
      </c>
      <c r="C16" s="119"/>
      <c r="D16" s="119"/>
      <c r="E16" s="119"/>
      <c r="F16" s="119"/>
      <c r="G16" s="119"/>
      <c r="H16" s="119"/>
      <c r="I16" s="119"/>
      <c r="J16" s="119"/>
      <c r="K16" s="101" t="s">
        <v>5</v>
      </c>
      <c r="L16" s="101"/>
      <c r="M16" s="101"/>
      <c r="N16" s="101"/>
      <c r="O16" s="101"/>
      <c r="P16" s="101"/>
      <c r="Q16" s="102"/>
    </row>
    <row r="17" spans="1:17" ht="20.100000000000001" customHeight="1" x14ac:dyDescent="0.25">
      <c r="A17" t="str">
        <f t="shared" si="0"/>
        <v>Quantidade de recusros internos:1 recurso interno</v>
      </c>
      <c r="B17" s="115" t="s">
        <v>26</v>
      </c>
      <c r="C17" s="116"/>
      <c r="D17" s="116"/>
      <c r="E17" s="116"/>
      <c r="F17" s="116"/>
      <c r="G17" s="116"/>
      <c r="H17" s="116"/>
      <c r="I17" s="116"/>
      <c r="J17" s="117"/>
      <c r="K17" s="101" t="s">
        <v>50</v>
      </c>
      <c r="L17" s="101"/>
      <c r="M17" s="101"/>
      <c r="N17" s="101"/>
      <c r="O17" s="101"/>
      <c r="P17" s="101"/>
      <c r="Q17" s="102"/>
    </row>
    <row r="18" spans="1:17" ht="20.100000000000001" customHeight="1" x14ac:dyDescent="0.25">
      <c r="A18" t="str">
        <f t="shared" si="0"/>
        <v>Qual é a prioridade do projeto para a ABRASEL?Baixa (C)</v>
      </c>
      <c r="B18" s="115" t="s">
        <v>52</v>
      </c>
      <c r="C18" s="116"/>
      <c r="D18" s="116"/>
      <c r="E18" s="116"/>
      <c r="F18" s="116"/>
      <c r="G18" s="116"/>
      <c r="H18" s="116"/>
      <c r="I18" s="116"/>
      <c r="J18" s="117"/>
      <c r="K18" s="101" t="s">
        <v>67</v>
      </c>
      <c r="L18" s="101"/>
      <c r="M18" s="101"/>
      <c r="N18" s="101"/>
      <c r="O18" s="101"/>
      <c r="P18" s="101"/>
      <c r="Q18" s="102"/>
    </row>
    <row r="19" spans="1:17" ht="19.7" customHeight="1" x14ac:dyDescent="0.25">
      <c r="A19" t="str">
        <f t="shared" si="0"/>
        <v>O projeto envolve a participação ativa de parceiros de negócio/outras empresas?Não</v>
      </c>
      <c r="B19" s="115" t="s">
        <v>48</v>
      </c>
      <c r="C19" s="116"/>
      <c r="D19" s="116"/>
      <c r="E19" s="116"/>
      <c r="F19" s="116"/>
      <c r="G19" s="116"/>
      <c r="H19" s="116"/>
      <c r="I19" s="116"/>
      <c r="J19" s="117"/>
      <c r="K19" s="101" t="s">
        <v>5</v>
      </c>
      <c r="L19" s="101"/>
      <c r="M19" s="101"/>
      <c r="N19" s="101"/>
      <c r="O19" s="101"/>
      <c r="P19" s="101"/>
      <c r="Q19" s="102"/>
    </row>
    <row r="20" spans="1:17" ht="18" customHeight="1" thickBot="1" x14ac:dyDescent="0.3">
      <c r="A20" t="str">
        <f t="shared" si="0"/>
        <v>Qual o grau de envolvimento necessário do CEO com o projeto?Baixo</v>
      </c>
      <c r="B20" s="115" t="s">
        <v>68</v>
      </c>
      <c r="C20" s="116"/>
      <c r="D20" s="116"/>
      <c r="E20" s="116"/>
      <c r="F20" s="116"/>
      <c r="G20" s="116"/>
      <c r="H20" s="116"/>
      <c r="I20" s="116"/>
      <c r="J20" s="117"/>
      <c r="K20" s="131" t="s">
        <v>69</v>
      </c>
      <c r="L20" s="132"/>
      <c r="M20" s="132"/>
      <c r="N20" s="132"/>
      <c r="O20" s="132"/>
      <c r="P20" s="132"/>
      <c r="Q20" s="133"/>
    </row>
    <row r="21" spans="1:17" ht="24" thickBot="1" x14ac:dyDescent="0.4">
      <c r="B21" s="129" t="s">
        <v>10</v>
      </c>
      <c r="C21" s="130"/>
      <c r="D21" s="130"/>
      <c r="E21" s="130"/>
      <c r="F21" s="130"/>
      <c r="G21" s="130"/>
      <c r="H21" s="130"/>
      <c r="I21" s="130"/>
      <c r="J21" s="130"/>
      <c r="K21" s="104"/>
      <c r="L21" s="104"/>
      <c r="M21" s="104"/>
      <c r="N21" s="104"/>
      <c r="O21" s="104"/>
      <c r="P21" s="104"/>
      <c r="Q21" s="105"/>
    </row>
    <row r="22" spans="1:17" ht="24" customHeight="1" x14ac:dyDescent="0.25">
      <c r="B22" s="120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2"/>
    </row>
    <row r="23" spans="1:17" ht="24" customHeight="1" x14ac:dyDescent="0.25">
      <c r="B23" s="123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5"/>
    </row>
    <row r="24" spans="1:17" ht="24" customHeight="1" x14ac:dyDescent="0.25">
      <c r="B24" s="123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5"/>
    </row>
    <row r="25" spans="1:17" ht="24" customHeight="1" x14ac:dyDescent="0.25">
      <c r="B25" s="123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5"/>
    </row>
    <row r="26" spans="1:17" ht="15.6" customHeight="1" thickBot="1" x14ac:dyDescent="0.3">
      <c r="B26" s="126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8"/>
    </row>
    <row r="27" spans="1:17" x14ac:dyDescent="0.25"/>
    <row r="28" spans="1:17" x14ac:dyDescent="0.25"/>
    <row r="29" spans="1:17" x14ac:dyDescent="0.25"/>
    <row r="30" spans="1:17" x14ac:dyDescent="0.25"/>
    <row r="31" spans="1:17" x14ac:dyDescent="0.25"/>
    <row r="32" spans="1:17" x14ac:dyDescent="0.25"/>
    <row r="33" x14ac:dyDescent="0.25"/>
    <row r="34" x14ac:dyDescent="0.25"/>
  </sheetData>
  <mergeCells count="24">
    <mergeCell ref="B22:Q26"/>
    <mergeCell ref="K18:Q18"/>
    <mergeCell ref="B21:Q21"/>
    <mergeCell ref="B19:J19"/>
    <mergeCell ref="B20:J20"/>
    <mergeCell ref="K20:Q20"/>
    <mergeCell ref="K17:Q17"/>
    <mergeCell ref="K14:Q14"/>
    <mergeCell ref="K19:Q19"/>
    <mergeCell ref="B17:J17"/>
    <mergeCell ref="B18:J18"/>
    <mergeCell ref="B14:J14"/>
    <mergeCell ref="B15:J15"/>
    <mergeCell ref="B16:J16"/>
    <mergeCell ref="B13:J13"/>
    <mergeCell ref="B9:Q9"/>
    <mergeCell ref="K15:Q15"/>
    <mergeCell ref="K16:Q16"/>
    <mergeCell ref="B5:Q5"/>
    <mergeCell ref="B7:Q7"/>
    <mergeCell ref="K11:L11"/>
    <mergeCell ref="M11:Q11"/>
    <mergeCell ref="B11:C11"/>
    <mergeCell ref="D11:I11"/>
  </mergeCells>
  <conditionalFormatting sqref="B22">
    <cfRule type="expression" dxfId="2" priority="10">
      <formula>$B$22="ALTA"</formula>
    </cfRule>
    <cfRule type="expression" dxfId="1" priority="11">
      <formula>$B$22="Média"</formula>
    </cfRule>
    <cfRule type="expression" dxfId="0" priority="12">
      <formula>$B$22="Baixa"</formula>
    </cfRule>
  </conditionalFormatting>
  <dataValidations count="1">
    <dataValidation type="list" allowBlank="1" showInputMessage="1" showErrorMessage="1" sqref="K16:Q16 K19:Q19">
      <formula1>"Não,Sim"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'Aux. Complexidade'!$B$2:$D$2</xm:f>
          </x14:formula1>
          <xm:sqref>K14:Q14</xm:sqref>
        </x14:dataValidation>
        <x14:dataValidation type="list" allowBlank="1" showInputMessage="1" showErrorMessage="1">
          <x14:formula1>
            <xm:f>'Aux. Complexidade'!$B$3:$D$3</xm:f>
          </x14:formula1>
          <xm:sqref>K15:Q15</xm:sqref>
        </x14:dataValidation>
        <x14:dataValidation type="list" allowBlank="1" showInputMessage="1" showErrorMessage="1">
          <x14:formula1>
            <xm:f>'Aux. Complexidade'!$B$5:$D$5</xm:f>
          </x14:formula1>
          <xm:sqref>K17:Q17</xm:sqref>
        </x14:dataValidation>
        <x14:dataValidation type="list" allowBlank="1" showInputMessage="1" showErrorMessage="1">
          <x14:formula1>
            <xm:f>'Aux. Complexidade'!$B$6:$D$6</xm:f>
          </x14:formula1>
          <xm:sqref>K18:Q18</xm:sqref>
        </x14:dataValidation>
        <x14:dataValidation type="list" allowBlank="1" showInputMessage="1" showErrorMessage="1">
          <x14:formula1>
            <xm:f>'Aux. Complexidade'!$B$7:$D$7</xm:f>
          </x14:formula1>
          <xm:sqref>K20:Q20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1:F25"/>
  <sheetViews>
    <sheetView showGridLines="0" workbookViewId="0">
      <selection activeCell="K21" sqref="K21"/>
    </sheetView>
  </sheetViews>
  <sheetFormatPr defaultRowHeight="15" x14ac:dyDescent="0.25"/>
  <cols>
    <col min="1" max="1" width="1.5703125" customWidth="1"/>
    <col min="2" max="2" width="5" customWidth="1"/>
    <col min="3" max="3" width="34.5703125" customWidth="1"/>
    <col min="4" max="4" width="18.140625" customWidth="1"/>
    <col min="5" max="5" width="18.42578125" customWidth="1"/>
    <col min="6" max="6" width="18.5703125" customWidth="1"/>
  </cols>
  <sheetData>
    <row r="1" spans="3:6" ht="6" customHeight="1" x14ac:dyDescent="0.25"/>
    <row r="2" spans="3:6" ht="15" customHeight="1" x14ac:dyDescent="0.25"/>
    <row r="3" spans="3:6" ht="15" customHeight="1" x14ac:dyDescent="0.25"/>
    <row r="4" spans="3:6" ht="15" customHeight="1" x14ac:dyDescent="0.25"/>
    <row r="5" spans="3:6" ht="15" customHeight="1" x14ac:dyDescent="0.25"/>
    <row r="6" spans="3:6" x14ac:dyDescent="0.25">
      <c r="C6" s="134" t="s">
        <v>47</v>
      </c>
      <c r="D6" s="135" t="s">
        <v>30</v>
      </c>
      <c r="E6" s="135"/>
      <c r="F6" s="135"/>
    </row>
    <row r="7" spans="3:6" x14ac:dyDescent="0.25">
      <c r="C7" s="134"/>
      <c r="D7" s="16" t="s">
        <v>27</v>
      </c>
      <c r="E7" s="19" t="s">
        <v>28</v>
      </c>
      <c r="F7" s="20" t="s">
        <v>29</v>
      </c>
    </row>
    <row r="8" spans="3:6" x14ac:dyDescent="0.25">
      <c r="C8" s="2" t="s">
        <v>0</v>
      </c>
      <c r="D8" s="15" t="s">
        <v>33</v>
      </c>
      <c r="E8" s="17" t="s">
        <v>33</v>
      </c>
      <c r="F8" s="18" t="s">
        <v>33</v>
      </c>
    </row>
    <row r="9" spans="3:6" x14ac:dyDescent="0.25">
      <c r="C9" s="2" t="s">
        <v>73</v>
      </c>
      <c r="D9" s="15" t="s">
        <v>33</v>
      </c>
      <c r="E9" s="17" t="s">
        <v>33</v>
      </c>
      <c r="F9" s="18" t="s">
        <v>33</v>
      </c>
    </row>
    <row r="10" spans="3:6" x14ac:dyDescent="0.25">
      <c r="C10" s="2" t="s">
        <v>1</v>
      </c>
      <c r="D10" s="15" t="s">
        <v>33</v>
      </c>
      <c r="E10" s="17" t="s">
        <v>33</v>
      </c>
      <c r="F10" s="18"/>
    </row>
    <row r="11" spans="3:6" hidden="1" x14ac:dyDescent="0.25">
      <c r="C11" s="2" t="s">
        <v>34</v>
      </c>
      <c r="D11" s="15" t="s">
        <v>33</v>
      </c>
      <c r="E11" s="17" t="s">
        <v>33</v>
      </c>
      <c r="F11" s="18"/>
    </row>
    <row r="12" spans="3:6" hidden="1" x14ac:dyDescent="0.25">
      <c r="C12" s="1" t="s">
        <v>46</v>
      </c>
      <c r="D12" s="15" t="s">
        <v>33</v>
      </c>
      <c r="E12" s="17"/>
      <c r="F12" s="18"/>
    </row>
    <row r="13" spans="3:6" x14ac:dyDescent="0.25">
      <c r="C13" s="2" t="s">
        <v>31</v>
      </c>
      <c r="D13" s="15" t="s">
        <v>33</v>
      </c>
      <c r="E13" s="17"/>
      <c r="F13" s="18"/>
    </row>
    <row r="14" spans="3:6" x14ac:dyDescent="0.25">
      <c r="C14" s="2" t="s">
        <v>32</v>
      </c>
      <c r="D14" s="15" t="s">
        <v>33</v>
      </c>
      <c r="E14" s="17"/>
      <c r="F14" s="18"/>
    </row>
    <row r="15" spans="3:6" x14ac:dyDescent="0.25">
      <c r="C15" s="2" t="s">
        <v>2</v>
      </c>
      <c r="D15" s="15" t="s">
        <v>33</v>
      </c>
      <c r="E15" s="17" t="s">
        <v>33</v>
      </c>
      <c r="F15" s="18"/>
    </row>
    <row r="16" spans="3:6" x14ac:dyDescent="0.25">
      <c r="C16" s="1" t="s">
        <v>54</v>
      </c>
      <c r="D16" s="15" t="s">
        <v>33</v>
      </c>
      <c r="E16" s="17" t="s">
        <v>33</v>
      </c>
      <c r="F16" s="18" t="s">
        <v>33</v>
      </c>
    </row>
    <row r="17" spans="2:6" x14ac:dyDescent="0.25">
      <c r="C17" s="1" t="s">
        <v>55</v>
      </c>
      <c r="D17" s="15" t="s">
        <v>33</v>
      </c>
      <c r="E17" s="17" t="s">
        <v>33</v>
      </c>
      <c r="F17" s="18" t="s">
        <v>33</v>
      </c>
    </row>
    <row r="18" spans="2:6" x14ac:dyDescent="0.25">
      <c r="C18" s="2" t="s">
        <v>3</v>
      </c>
      <c r="D18" s="15" t="s">
        <v>33</v>
      </c>
      <c r="E18" s="17" t="s">
        <v>33</v>
      </c>
      <c r="F18" s="18" t="s">
        <v>33</v>
      </c>
    </row>
    <row r="19" spans="2:6" x14ac:dyDescent="0.25">
      <c r="C19" s="1" t="s">
        <v>71</v>
      </c>
      <c r="D19" s="15"/>
      <c r="E19" s="17" t="s">
        <v>33</v>
      </c>
      <c r="F19" s="18" t="s">
        <v>33</v>
      </c>
    </row>
    <row r="20" spans="2:6" hidden="1" x14ac:dyDescent="0.25">
      <c r="C20" s="2" t="s">
        <v>44</v>
      </c>
      <c r="D20" s="15" t="s">
        <v>33</v>
      </c>
      <c r="E20" s="17" t="s">
        <v>33</v>
      </c>
      <c r="F20" s="18" t="s">
        <v>33</v>
      </c>
    </row>
    <row r="21" spans="2:6" x14ac:dyDescent="0.25">
      <c r="C21" s="2" t="s">
        <v>72</v>
      </c>
      <c r="D21" s="15" t="s">
        <v>33</v>
      </c>
      <c r="E21" s="17" t="s">
        <v>33</v>
      </c>
      <c r="F21" s="18" t="s">
        <v>33</v>
      </c>
    </row>
    <row r="22" spans="2:6" hidden="1" x14ac:dyDescent="0.25">
      <c r="B22" t="s">
        <v>45</v>
      </c>
      <c r="C22" s="2" t="s">
        <v>58</v>
      </c>
      <c r="D22" s="15" t="s">
        <v>33</v>
      </c>
      <c r="E22" s="17" t="s">
        <v>33</v>
      </c>
      <c r="F22" s="18" t="s">
        <v>33</v>
      </c>
    </row>
    <row r="23" spans="2:6" hidden="1" x14ac:dyDescent="0.25">
      <c r="C23" s="2" t="s">
        <v>53</v>
      </c>
      <c r="D23" s="15" t="s">
        <v>33</v>
      </c>
      <c r="E23" s="17" t="s">
        <v>33</v>
      </c>
      <c r="F23" s="18" t="s">
        <v>33</v>
      </c>
    </row>
    <row r="24" spans="2:6" hidden="1" x14ac:dyDescent="0.25">
      <c r="B24" t="s">
        <v>45</v>
      </c>
      <c r="C24" s="1" t="s">
        <v>56</v>
      </c>
      <c r="D24" s="1"/>
      <c r="E24" s="1"/>
      <c r="F24" s="1"/>
    </row>
    <row r="25" spans="2:6" hidden="1" x14ac:dyDescent="0.25">
      <c r="B25" t="s">
        <v>45</v>
      </c>
      <c r="C25" s="1" t="s">
        <v>57</v>
      </c>
      <c r="D25" s="1"/>
      <c r="E25" s="1"/>
      <c r="F25" s="1"/>
    </row>
  </sheetData>
  <mergeCells count="2">
    <mergeCell ref="C6:C7"/>
    <mergeCell ref="D6:F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49"/>
  <sheetViews>
    <sheetView showGridLines="0" workbookViewId="0">
      <selection activeCell="C12" sqref="C12"/>
    </sheetView>
  </sheetViews>
  <sheetFormatPr defaultRowHeight="15" x14ac:dyDescent="0.25"/>
  <cols>
    <col min="1" max="1" width="72.85546875" style="37" bestFit="1" customWidth="1"/>
    <col min="2" max="2" width="24.140625" style="37" customWidth="1"/>
    <col min="3" max="3" width="23.42578125" style="37" bestFit="1" customWidth="1"/>
    <col min="4" max="4" width="25.140625" style="37" bestFit="1" customWidth="1"/>
  </cols>
  <sheetData>
    <row r="1" spans="1:4" x14ac:dyDescent="0.25">
      <c r="A1" s="23" t="s">
        <v>6</v>
      </c>
      <c r="B1" s="23" t="s">
        <v>37</v>
      </c>
      <c r="C1" s="23" t="s">
        <v>41</v>
      </c>
      <c r="D1" s="23" t="s">
        <v>38</v>
      </c>
    </row>
    <row r="2" spans="1:4" x14ac:dyDescent="0.25">
      <c r="A2" s="35" t="s">
        <v>25</v>
      </c>
      <c r="B2" s="35" t="s">
        <v>62</v>
      </c>
      <c r="C2" s="35" t="s">
        <v>63</v>
      </c>
      <c r="D2" s="35" t="s">
        <v>64</v>
      </c>
    </row>
    <row r="3" spans="1:4" x14ac:dyDescent="0.25">
      <c r="A3" s="35" t="s">
        <v>24</v>
      </c>
      <c r="B3" s="35" t="s">
        <v>59</v>
      </c>
      <c r="C3" s="35" t="s">
        <v>60</v>
      </c>
      <c r="D3" s="35" t="s">
        <v>61</v>
      </c>
    </row>
    <row r="4" spans="1:4" x14ac:dyDescent="0.25">
      <c r="A4" s="35" t="s">
        <v>40</v>
      </c>
      <c r="B4" s="35" t="s">
        <v>5</v>
      </c>
      <c r="C4" s="35"/>
      <c r="D4" s="35" t="s">
        <v>4</v>
      </c>
    </row>
    <row r="5" spans="1:4" x14ac:dyDescent="0.25">
      <c r="A5" s="35" t="s">
        <v>26</v>
      </c>
      <c r="B5" s="35" t="s">
        <v>50</v>
      </c>
      <c r="C5" s="35" t="s">
        <v>49</v>
      </c>
      <c r="D5" s="35" t="s">
        <v>51</v>
      </c>
    </row>
    <row r="6" spans="1:4" x14ac:dyDescent="0.25">
      <c r="A6" s="35" t="s">
        <v>52</v>
      </c>
      <c r="B6" s="35" t="s">
        <v>67</v>
      </c>
      <c r="C6" s="35" t="s">
        <v>65</v>
      </c>
      <c r="D6" s="35" t="s">
        <v>66</v>
      </c>
    </row>
    <row r="7" spans="1:4" x14ac:dyDescent="0.25">
      <c r="A7" s="35" t="s">
        <v>68</v>
      </c>
      <c r="B7" s="35" t="s">
        <v>69</v>
      </c>
      <c r="C7" s="35" t="s">
        <v>35</v>
      </c>
      <c r="D7" s="35" t="s">
        <v>70</v>
      </c>
    </row>
    <row r="8" spans="1:4" x14ac:dyDescent="0.25">
      <c r="A8" s="36" t="s">
        <v>48</v>
      </c>
      <c r="B8" s="36" t="s">
        <v>5</v>
      </c>
      <c r="C8" s="36"/>
      <c r="D8" s="36" t="s">
        <v>4</v>
      </c>
    </row>
    <row r="10" spans="1:4" x14ac:dyDescent="0.25">
      <c r="A10" s="134" t="s">
        <v>20</v>
      </c>
      <c r="B10" s="134"/>
    </row>
    <row r="11" spans="1:4" x14ac:dyDescent="0.25">
      <c r="A11" s="35" t="s">
        <v>22</v>
      </c>
      <c r="B11" s="38">
        <f>SUM($B$43:$B$49)</f>
        <v>0</v>
      </c>
    </row>
    <row r="12" spans="1:4" x14ac:dyDescent="0.25">
      <c r="A12" s="35" t="s">
        <v>23</v>
      </c>
      <c r="B12" s="38">
        <v>0.1</v>
      </c>
    </row>
    <row r="13" spans="1:4" x14ac:dyDescent="0.25">
      <c r="A13" s="39" t="s">
        <v>21</v>
      </c>
      <c r="B13" s="40">
        <f>SUM(B16:B19)-B11-B12</f>
        <v>27.9</v>
      </c>
    </row>
    <row r="15" spans="1:4" x14ac:dyDescent="0.25">
      <c r="A15" s="134" t="s">
        <v>20</v>
      </c>
      <c r="B15" s="134"/>
    </row>
    <row r="16" spans="1:4" x14ac:dyDescent="0.25">
      <c r="A16" s="39" t="s">
        <v>108</v>
      </c>
      <c r="B16" s="40">
        <v>7</v>
      </c>
    </row>
    <row r="17" spans="1:2" x14ac:dyDescent="0.25">
      <c r="A17" s="35" t="s">
        <v>28</v>
      </c>
      <c r="B17" s="40">
        <v>4.5</v>
      </c>
    </row>
    <row r="18" spans="1:2" x14ac:dyDescent="0.25">
      <c r="A18" s="39" t="s">
        <v>36</v>
      </c>
      <c r="B18" s="40">
        <v>2.5</v>
      </c>
    </row>
    <row r="19" spans="1:2" x14ac:dyDescent="0.25">
      <c r="A19" s="39" t="s">
        <v>14</v>
      </c>
      <c r="B19" s="40">
        <f>SUM(B16:B18)</f>
        <v>14</v>
      </c>
    </row>
    <row r="21" spans="1:2" x14ac:dyDescent="0.25">
      <c r="A21" s="23" t="s">
        <v>12</v>
      </c>
      <c r="B21" s="23" t="s">
        <v>13</v>
      </c>
    </row>
    <row r="22" spans="1:2" x14ac:dyDescent="0.25">
      <c r="A22" s="35" t="str">
        <f>$A$2&amp;B2</f>
        <v>Duração do projeto:Até 1 mês</v>
      </c>
      <c r="B22" s="35">
        <v>0</v>
      </c>
    </row>
    <row r="23" spans="1:2" x14ac:dyDescent="0.25">
      <c r="A23" s="35" t="str">
        <f>$A$2&amp;C2</f>
        <v>Duração do projeto:De 1 a 2 meses</v>
      </c>
      <c r="B23" s="35">
        <v>1</v>
      </c>
    </row>
    <row r="24" spans="1:2" x14ac:dyDescent="0.25">
      <c r="A24" s="35" t="str">
        <f>$A$2&amp;D2</f>
        <v>Duração do projeto:Acima de 2 meses</v>
      </c>
      <c r="B24" s="35">
        <v>2</v>
      </c>
    </row>
    <row r="25" spans="1:2" x14ac:dyDescent="0.25">
      <c r="A25" s="35" t="str">
        <f>$A$3&amp;B3</f>
        <v>Investimento total:Até R$ 100.000</v>
      </c>
      <c r="B25" s="35">
        <v>0</v>
      </c>
    </row>
    <row r="26" spans="1:2" x14ac:dyDescent="0.25">
      <c r="A26" s="35" t="str">
        <f>$A$3&amp;C3</f>
        <v>Investimento total:De R$ 100.000 a R$200.000</v>
      </c>
      <c r="B26" s="35">
        <v>1</v>
      </c>
    </row>
    <row r="27" spans="1:2" x14ac:dyDescent="0.25">
      <c r="A27" s="35" t="str">
        <f>$A$3&amp;D3</f>
        <v>Investimento total:Acima de R$ 200.000</v>
      </c>
      <c r="B27" s="35">
        <v>2</v>
      </c>
    </row>
    <row r="28" spans="1:2" x14ac:dyDescent="0.25">
      <c r="A28" s="35" t="str">
        <f>$A$4&amp;B4</f>
        <v>É necessário criar um novo contrato com o fornecedor?Não</v>
      </c>
      <c r="B28" s="35">
        <v>0</v>
      </c>
    </row>
    <row r="29" spans="1:2" x14ac:dyDescent="0.25">
      <c r="A29" s="35" t="str">
        <f>$A$4&amp;D4</f>
        <v>É necessário criar um novo contrato com o fornecedor?Sim</v>
      </c>
      <c r="B29" s="35">
        <v>2</v>
      </c>
    </row>
    <row r="30" spans="1:2" x14ac:dyDescent="0.25">
      <c r="A30" s="35" t="str">
        <f>$A$5&amp;B5</f>
        <v>Quantidade de recusros internos:1 recurso interno</v>
      </c>
      <c r="B30" s="35">
        <v>0</v>
      </c>
    </row>
    <row r="31" spans="1:2" x14ac:dyDescent="0.25">
      <c r="A31" s="35" t="str">
        <f>$A$5&amp;C5</f>
        <v>Quantidade de recusros internos:De 2 a 3 recursos internos</v>
      </c>
      <c r="B31" s="35">
        <v>1</v>
      </c>
    </row>
    <row r="32" spans="1:2" x14ac:dyDescent="0.25">
      <c r="A32" s="35" t="str">
        <f>$A$5&amp;D5</f>
        <v>Quantidade de recusros internos:Acima de 3 recursos internos</v>
      </c>
      <c r="B32" s="35">
        <v>2</v>
      </c>
    </row>
    <row r="33" spans="1:3" x14ac:dyDescent="0.25">
      <c r="A33" s="35" t="str">
        <f>$A$6&amp;B6</f>
        <v>Qual é a prioridade do projeto para a ABRASEL?Baixa (C)</v>
      </c>
      <c r="B33" s="35">
        <v>0</v>
      </c>
    </row>
    <row r="34" spans="1:3" x14ac:dyDescent="0.25">
      <c r="A34" s="35" t="str">
        <f>$A$6&amp;C6</f>
        <v>Qual é a prioridade do projeto para a ABRASEL?Média (B)</v>
      </c>
      <c r="B34" s="35">
        <v>1</v>
      </c>
    </row>
    <row r="35" spans="1:3" x14ac:dyDescent="0.25">
      <c r="A35" s="35" t="str">
        <f>$A$6&amp;D6</f>
        <v>Qual é a prioridade do projeto para a ABRASEL?Alta (A)</v>
      </c>
      <c r="B35" s="35">
        <v>2</v>
      </c>
    </row>
    <row r="36" spans="1:3" x14ac:dyDescent="0.25">
      <c r="A36" s="35" t="str">
        <f>$A$7&amp;B7</f>
        <v>Qual o grau de envolvimento necessário do CEO com o projeto?Baixo</v>
      </c>
      <c r="B36" s="35">
        <v>0</v>
      </c>
    </row>
    <row r="37" spans="1:3" x14ac:dyDescent="0.25">
      <c r="A37" s="35" t="str">
        <f>$A$7&amp;C7</f>
        <v>Qual o grau de envolvimento necessário do CEO com o projeto?Médio</v>
      </c>
      <c r="B37" s="35">
        <v>1</v>
      </c>
    </row>
    <row r="38" spans="1:3" x14ac:dyDescent="0.25">
      <c r="A38" s="35" t="str">
        <f>$A$7&amp;D7</f>
        <v>Qual o grau de envolvimento necessário do CEO com o projeto?Alto</v>
      </c>
      <c r="B38" s="35">
        <v>2</v>
      </c>
    </row>
    <row r="39" spans="1:3" x14ac:dyDescent="0.25">
      <c r="A39" s="35" t="str">
        <f>$A$8&amp;B8</f>
        <v>O projeto envolve a participação ativa de parceiros de negócio/outras empresas?Não</v>
      </c>
      <c r="B39" s="35">
        <v>0</v>
      </c>
    </row>
    <row r="40" spans="1:3" x14ac:dyDescent="0.25">
      <c r="A40" s="35" t="str">
        <f>$A$8&amp;D8</f>
        <v>O projeto envolve a participação ativa de parceiros de negócio/outras empresas?Sim</v>
      </c>
      <c r="B40" s="35">
        <v>2</v>
      </c>
    </row>
    <row r="42" spans="1:3" x14ac:dyDescent="0.25">
      <c r="A42" s="134" t="s">
        <v>13</v>
      </c>
      <c r="B42" s="134"/>
    </row>
    <row r="43" spans="1:3" x14ac:dyDescent="0.25">
      <c r="A43" s="35" t="s">
        <v>15</v>
      </c>
      <c r="B43" s="35">
        <f>VLOOKUP('Categorização de Projetos'!A14,'Aux. Complexidade'!$A$22:$B$40,2,0)</f>
        <v>0</v>
      </c>
    </row>
    <row r="44" spans="1:3" x14ac:dyDescent="0.25">
      <c r="A44" s="35" t="s">
        <v>16</v>
      </c>
      <c r="B44" s="35">
        <f>VLOOKUP('Categorização de Projetos'!A15,'Aux. Complexidade'!$A$22:$B$40,2,0)</f>
        <v>0</v>
      </c>
    </row>
    <row r="45" spans="1:3" x14ac:dyDescent="0.25">
      <c r="A45" s="35" t="s">
        <v>17</v>
      </c>
      <c r="B45" s="35">
        <f>VLOOKUP('Categorização de Projetos'!A16,'Aux. Complexidade'!$A$22:$B$40,2,0)</f>
        <v>0</v>
      </c>
    </row>
    <row r="46" spans="1:3" x14ac:dyDescent="0.25">
      <c r="A46" s="35" t="s">
        <v>18</v>
      </c>
      <c r="B46" s="35">
        <f>VLOOKUP('Categorização de Projetos'!A17,'Aux. Complexidade'!$A$22:$B$40,2,0)</f>
        <v>0</v>
      </c>
    </row>
    <row r="47" spans="1:3" x14ac:dyDescent="0.25">
      <c r="A47" s="35" t="s">
        <v>19</v>
      </c>
      <c r="B47" s="35">
        <f>IF(C47=2,14-(B43+B44+B45+B46+B48+B49),C47)</f>
        <v>0</v>
      </c>
      <c r="C47" s="37">
        <f>VLOOKUP('Categorização de Projetos'!A18,'Aux. Complexidade'!$A$22:$B$40,2,0)</f>
        <v>0</v>
      </c>
    </row>
    <row r="48" spans="1:3" x14ac:dyDescent="0.25">
      <c r="A48" s="35" t="s">
        <v>39</v>
      </c>
      <c r="B48" s="35">
        <f>VLOOKUP('Categorização de Projetos'!A19,'Aux. Complexidade'!$A$22:$B$40,2,0)</f>
        <v>0</v>
      </c>
    </row>
    <row r="49" spans="1:2" x14ac:dyDescent="0.25">
      <c r="A49" s="36" t="s">
        <v>42</v>
      </c>
      <c r="B49" s="35">
        <f>VLOOKUP('Categorização de Projetos'!A20,'Aux. Complexidade'!$A$22:$B$40,2,0)</f>
        <v>0</v>
      </c>
    </row>
  </sheetData>
  <mergeCells count="3">
    <mergeCell ref="A10:B10"/>
    <mergeCell ref="A15:B15"/>
    <mergeCell ref="A42:B42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DFB35F0B09BA41AF54FC4903225F5B" ma:contentTypeVersion="13" ma:contentTypeDescription="Create a new document." ma:contentTypeScope="" ma:versionID="5a08918a9d9890d65cf20b9f85d7ac09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4b2b0510c63d4bde6e2c0a811bba9613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EF033AA-4E89-4F50-8349-32C141A7B3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33c5a6-54d1-477f-83bb-93291d03e373"/>
    <ds:schemaRef ds:uri="cd8cfd7d-5186-4715-9870-1f6c504c93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FE47D8-77F4-4440-A863-19957E4187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D3A0F4-954F-4090-9C84-8B03814F169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Pré-Projeto</vt:lpstr>
      <vt:lpstr>Listas Suspensas</vt:lpstr>
      <vt:lpstr>Categorização de Projetos</vt:lpstr>
      <vt:lpstr>Ritos de Gestão</vt:lpstr>
      <vt:lpstr>Aux. Complexidade</vt:lpstr>
      <vt:lpstr>Gestão</vt:lpstr>
      <vt:lpstr>Representatividade</vt:lpstr>
      <vt:lpstr>Soluções</vt:lpstr>
      <vt:lpstr>Sustentabilidade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allangomides@hotmail.com</cp:lastModifiedBy>
  <dcterms:created xsi:type="dcterms:W3CDTF">2019-03-26T18:57:32Z</dcterms:created>
  <dcterms:modified xsi:type="dcterms:W3CDTF">2021-07-20T14:39:46Z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