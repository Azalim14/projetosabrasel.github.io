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falconi365.sharepoint.com/sites/gestaodoconhecimento/projetos64/14367 ABRASEL/1. REDE/2. Controle/2. Metodologia/2. Artefatos padrão e ferramentas/"/>
    </mc:Choice>
  </mc:AlternateContent>
  <xr:revisionPtr revIDLastSave="178" documentId="8_{D881433F-BCCD-479E-8F4D-BB179295C203}" xr6:coauthVersionLast="46" xr6:coauthVersionMax="46" xr10:uidLastSave="{AE04A571-FC27-4A09-A6AC-F4B90FE8A612}"/>
  <bookViews>
    <workbookView xWindow="-120" yWindow="-120" windowWidth="20730" windowHeight="11160" firstSheet="1" activeTab="1" xr2:uid="{00000000-000D-0000-FFFF-FFFF00000000}"/>
  </bookViews>
  <sheets>
    <sheet name="Estratégia" sheetId="8" r:id="rId1"/>
    <sheet name="Priorização (Foco externo)" sheetId="1" r:id="rId2"/>
    <sheet name="Peso critérios" sheetId="5" state="hidden" r:id="rId3"/>
    <sheet name="Auxiliar (Foco externo)" sheetId="2" state="hidden" r:id="rId4"/>
    <sheet name="Priorização (Foco interno)" sheetId="9" r:id="rId5"/>
    <sheet name="Auxiliar (Foco interno)" sheetId="10" state="hidden" r:id="rId6"/>
  </sheets>
  <definedNames>
    <definedName name="_xlnm._FilterDatabase" localSheetId="1" hidden="1">'Priorização (Foco externo)'!$A$2:$R$23</definedName>
    <definedName name="_xlnm._FilterDatabase" localSheetId="4" hidden="1">'Priorização (Foco interno)'!$A$2:$P$23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9" l="1"/>
  <c r="P20" i="9"/>
  <c r="P24" i="9"/>
  <c r="H24" i="9" s="1"/>
  <c r="P25" i="9"/>
  <c r="H25" i="9" s="1"/>
  <c r="P26" i="9"/>
  <c r="H26" i="9" s="1"/>
  <c r="P27" i="9"/>
  <c r="H27" i="9" s="1"/>
  <c r="P28" i="9"/>
  <c r="H28" i="9" s="1"/>
  <c r="P29" i="9"/>
  <c r="H29" i="9" s="1"/>
  <c r="P30" i="9"/>
  <c r="H30" i="9" s="1"/>
  <c r="P31" i="9"/>
  <c r="H31" i="9" s="1"/>
  <c r="P32" i="9"/>
  <c r="H32" i="9" s="1"/>
  <c r="P33" i="9"/>
  <c r="H33" i="9" s="1"/>
  <c r="P34" i="9"/>
  <c r="H34" i="9" s="1"/>
  <c r="P35" i="9"/>
  <c r="H35" i="9" s="1"/>
  <c r="P36" i="9"/>
  <c r="H36" i="9" s="1"/>
  <c r="P37" i="9"/>
  <c r="H37" i="9" s="1"/>
  <c r="P38" i="9"/>
  <c r="H38" i="9" s="1"/>
  <c r="P39" i="9"/>
  <c r="H39" i="9" s="1"/>
  <c r="P40" i="9"/>
  <c r="H40" i="9" s="1"/>
  <c r="P41" i="9"/>
  <c r="H41" i="9" s="1"/>
  <c r="P42" i="9"/>
  <c r="H42" i="9" s="1"/>
  <c r="P43" i="9"/>
  <c r="H43" i="9" s="1"/>
  <c r="P44" i="9"/>
  <c r="H44" i="9" s="1"/>
  <c r="P45" i="9"/>
  <c r="H45" i="9" s="1"/>
  <c r="P46" i="9"/>
  <c r="H46" i="9" s="1"/>
  <c r="P47" i="9"/>
  <c r="H47" i="9" s="1"/>
  <c r="P48" i="9"/>
  <c r="H48" i="9" s="1"/>
  <c r="P49" i="9"/>
  <c r="H49" i="9" s="1"/>
  <c r="P50" i="9"/>
  <c r="H50" i="9" s="1"/>
  <c r="P51" i="9"/>
  <c r="H51" i="9" s="1"/>
  <c r="P52" i="9"/>
  <c r="H52" i="9" s="1"/>
  <c r="P53" i="9"/>
  <c r="H53" i="9" s="1"/>
  <c r="P54" i="9"/>
  <c r="H54" i="9" s="1"/>
  <c r="P55" i="9"/>
  <c r="H55" i="9" s="1"/>
  <c r="P56" i="9"/>
  <c r="H56" i="9" s="1"/>
  <c r="P57" i="9"/>
  <c r="H57" i="9" s="1"/>
  <c r="P58" i="9"/>
  <c r="H58" i="9" s="1"/>
  <c r="P59" i="9"/>
  <c r="H59" i="9" s="1"/>
  <c r="P60" i="9"/>
  <c r="H60" i="9" s="1"/>
  <c r="P61" i="9"/>
  <c r="H61" i="9" s="1"/>
  <c r="P62" i="9"/>
  <c r="H62" i="9" s="1"/>
  <c r="P63" i="9"/>
  <c r="H63" i="9" s="1"/>
  <c r="P64" i="9"/>
  <c r="H64" i="9" s="1"/>
  <c r="P65" i="9"/>
  <c r="H65" i="9" s="1"/>
  <c r="P66" i="9"/>
  <c r="H66" i="9" s="1"/>
  <c r="P67" i="9"/>
  <c r="H67" i="9" s="1"/>
  <c r="P68" i="9"/>
  <c r="H68" i="9" s="1"/>
  <c r="P69" i="9"/>
  <c r="H69" i="9" s="1"/>
  <c r="P70" i="9"/>
  <c r="H70" i="9" s="1"/>
  <c r="P71" i="9"/>
  <c r="H71" i="9" s="1"/>
  <c r="P72" i="9"/>
  <c r="H72" i="9" s="1"/>
  <c r="P73" i="9"/>
  <c r="H73" i="9" s="1"/>
  <c r="P74" i="9"/>
  <c r="H74" i="9" s="1"/>
  <c r="P75" i="9"/>
  <c r="H75" i="9" s="1"/>
  <c r="P76" i="9"/>
  <c r="H76" i="9" s="1"/>
  <c r="P77" i="9"/>
  <c r="H77" i="9" s="1"/>
  <c r="P78" i="9"/>
  <c r="H78" i="9" s="1"/>
  <c r="P79" i="9"/>
  <c r="H79" i="9" s="1"/>
  <c r="P80" i="9"/>
  <c r="H80" i="9" s="1"/>
  <c r="P81" i="9"/>
  <c r="H81" i="9" s="1"/>
  <c r="P82" i="9"/>
  <c r="H82" i="9" s="1"/>
  <c r="P83" i="9"/>
  <c r="H83" i="9" s="1"/>
  <c r="P84" i="9"/>
  <c r="H84" i="9" s="1"/>
  <c r="P85" i="9"/>
  <c r="H85" i="9" s="1"/>
  <c r="P86" i="9"/>
  <c r="H86" i="9" s="1"/>
  <c r="P87" i="9"/>
  <c r="H87" i="9" s="1"/>
  <c r="P88" i="9"/>
  <c r="H88" i="9" s="1"/>
  <c r="P89" i="9"/>
  <c r="H89" i="9" s="1"/>
  <c r="P90" i="9"/>
  <c r="H90" i="9" s="1"/>
  <c r="P91" i="9"/>
  <c r="H91" i="9" s="1"/>
  <c r="P92" i="9"/>
  <c r="H92" i="9" s="1"/>
  <c r="P93" i="9"/>
  <c r="H93" i="9" s="1"/>
  <c r="P94" i="9"/>
  <c r="H94" i="9" s="1"/>
  <c r="P95" i="9"/>
  <c r="H95" i="9" s="1"/>
  <c r="P96" i="9"/>
  <c r="H96" i="9" s="1"/>
  <c r="P97" i="9"/>
  <c r="H97" i="9" s="1"/>
  <c r="P98" i="9"/>
  <c r="H98" i="9" s="1"/>
  <c r="P99" i="9"/>
  <c r="H99" i="9" s="1"/>
  <c r="P100" i="9"/>
  <c r="H100" i="9" s="1"/>
  <c r="P101" i="9"/>
  <c r="H101" i="9" s="1"/>
  <c r="N10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J10" i="9"/>
  <c r="J14" i="9"/>
  <c r="J18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4" i="9"/>
  <c r="B12" i="10"/>
  <c r="P4" i="10"/>
  <c r="P5" i="9" s="1"/>
  <c r="L4" i="10"/>
  <c r="H4" i="10"/>
  <c r="D4" i="10"/>
  <c r="J23" i="9" s="1"/>
  <c r="P3" i="10"/>
  <c r="L3" i="10"/>
  <c r="N7" i="9" s="1"/>
  <c r="H3" i="10"/>
  <c r="L5" i="9" s="1"/>
  <c r="D3" i="10"/>
  <c r="J20" i="9" s="1"/>
  <c r="P2" i="10"/>
  <c r="L2" i="10"/>
  <c r="H2" i="10"/>
  <c r="D2" i="10"/>
  <c r="J7" i="9" s="1"/>
  <c r="G101" i="9"/>
  <c r="E101" i="9"/>
  <c r="G100" i="9"/>
  <c r="E100" i="9"/>
  <c r="G99" i="9"/>
  <c r="E99" i="9"/>
  <c r="G98" i="9"/>
  <c r="E98" i="9"/>
  <c r="G97" i="9"/>
  <c r="E97" i="9"/>
  <c r="G96" i="9"/>
  <c r="E96" i="9"/>
  <c r="G95" i="9"/>
  <c r="E95" i="9"/>
  <c r="G94" i="9"/>
  <c r="E94" i="9"/>
  <c r="G93" i="9"/>
  <c r="E93" i="9"/>
  <c r="G92" i="9"/>
  <c r="E92" i="9"/>
  <c r="G91" i="9"/>
  <c r="E91" i="9"/>
  <c r="G90" i="9"/>
  <c r="E90" i="9"/>
  <c r="G89" i="9"/>
  <c r="E89" i="9"/>
  <c r="G88" i="9"/>
  <c r="E88" i="9"/>
  <c r="G87" i="9"/>
  <c r="E87" i="9"/>
  <c r="G86" i="9"/>
  <c r="E86" i="9"/>
  <c r="G85" i="9"/>
  <c r="E85" i="9"/>
  <c r="G84" i="9"/>
  <c r="E84" i="9"/>
  <c r="G83" i="9"/>
  <c r="E83" i="9"/>
  <c r="G82" i="9"/>
  <c r="E82" i="9"/>
  <c r="G81" i="9"/>
  <c r="E81" i="9"/>
  <c r="G80" i="9"/>
  <c r="E80" i="9"/>
  <c r="G79" i="9"/>
  <c r="E79" i="9"/>
  <c r="G78" i="9"/>
  <c r="E78" i="9"/>
  <c r="G77" i="9"/>
  <c r="E77" i="9"/>
  <c r="G76" i="9"/>
  <c r="E76" i="9"/>
  <c r="G75" i="9"/>
  <c r="E75" i="9"/>
  <c r="G74" i="9"/>
  <c r="E74" i="9"/>
  <c r="G73" i="9"/>
  <c r="E73" i="9"/>
  <c r="G72" i="9"/>
  <c r="E72" i="9"/>
  <c r="G71" i="9"/>
  <c r="E71" i="9"/>
  <c r="G70" i="9"/>
  <c r="E70" i="9"/>
  <c r="G69" i="9"/>
  <c r="E69" i="9"/>
  <c r="G68" i="9"/>
  <c r="E68" i="9"/>
  <c r="G67" i="9"/>
  <c r="E67" i="9"/>
  <c r="G66" i="9"/>
  <c r="E66" i="9"/>
  <c r="G65" i="9"/>
  <c r="E65" i="9"/>
  <c r="G64" i="9"/>
  <c r="E64" i="9"/>
  <c r="G63" i="9"/>
  <c r="E63" i="9"/>
  <c r="G62" i="9"/>
  <c r="E62" i="9"/>
  <c r="G61" i="9"/>
  <c r="E61" i="9"/>
  <c r="G60" i="9"/>
  <c r="E60" i="9"/>
  <c r="G59" i="9"/>
  <c r="E59" i="9"/>
  <c r="G58" i="9"/>
  <c r="E58" i="9"/>
  <c r="G57" i="9"/>
  <c r="E57" i="9"/>
  <c r="G56" i="9"/>
  <c r="E56" i="9"/>
  <c r="G55" i="9"/>
  <c r="E55" i="9"/>
  <c r="G54" i="9"/>
  <c r="E54" i="9"/>
  <c r="G53" i="9"/>
  <c r="E53" i="9"/>
  <c r="G52" i="9"/>
  <c r="E52" i="9"/>
  <c r="G51" i="9"/>
  <c r="E51" i="9"/>
  <c r="G50" i="9"/>
  <c r="E50" i="9"/>
  <c r="G49" i="9"/>
  <c r="E49" i="9"/>
  <c r="G48" i="9"/>
  <c r="E48" i="9"/>
  <c r="G47" i="9"/>
  <c r="E47" i="9"/>
  <c r="G46" i="9"/>
  <c r="E46" i="9"/>
  <c r="G45" i="9"/>
  <c r="E45" i="9"/>
  <c r="G44" i="9"/>
  <c r="E44" i="9"/>
  <c r="G43" i="9"/>
  <c r="E43" i="9"/>
  <c r="G42" i="9"/>
  <c r="E42" i="9"/>
  <c r="G41" i="9"/>
  <c r="E41" i="9"/>
  <c r="G40" i="9"/>
  <c r="E40" i="9"/>
  <c r="G39" i="9"/>
  <c r="E39" i="9"/>
  <c r="G38" i="9"/>
  <c r="E38" i="9"/>
  <c r="G37" i="9"/>
  <c r="E37" i="9"/>
  <c r="G36" i="9"/>
  <c r="E36" i="9"/>
  <c r="G35" i="9"/>
  <c r="E35" i="9"/>
  <c r="G34" i="9"/>
  <c r="E34" i="9"/>
  <c r="G33" i="9"/>
  <c r="E33" i="9"/>
  <c r="G32" i="9"/>
  <c r="E32" i="9"/>
  <c r="G31" i="9"/>
  <c r="E31" i="9"/>
  <c r="G30" i="9"/>
  <c r="E30" i="9"/>
  <c r="G29" i="9"/>
  <c r="E29" i="9"/>
  <c r="G28" i="9"/>
  <c r="E28" i="9"/>
  <c r="G27" i="9"/>
  <c r="E27" i="9"/>
  <c r="G26" i="9"/>
  <c r="E26" i="9"/>
  <c r="G25" i="9"/>
  <c r="E25" i="9"/>
  <c r="G24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F4" i="9" s="1"/>
  <c r="G4" i="9" s="1"/>
  <c r="A1" i="9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E65" i="1"/>
  <c r="J65" i="1"/>
  <c r="L65" i="1"/>
  <c r="N65" i="1"/>
  <c r="P65" i="1"/>
  <c r="R65" i="1"/>
  <c r="E66" i="1"/>
  <c r="J66" i="1"/>
  <c r="L66" i="1"/>
  <c r="N66" i="1"/>
  <c r="P66" i="1"/>
  <c r="R66" i="1"/>
  <c r="E67" i="1"/>
  <c r="J67" i="1"/>
  <c r="L67" i="1"/>
  <c r="N67" i="1"/>
  <c r="P67" i="1"/>
  <c r="R67" i="1"/>
  <c r="E68" i="1"/>
  <c r="J68" i="1"/>
  <c r="L68" i="1"/>
  <c r="N68" i="1"/>
  <c r="P68" i="1"/>
  <c r="R68" i="1"/>
  <c r="E69" i="1"/>
  <c r="J69" i="1"/>
  <c r="L69" i="1"/>
  <c r="N69" i="1"/>
  <c r="P69" i="1"/>
  <c r="R69" i="1"/>
  <c r="E70" i="1"/>
  <c r="J70" i="1"/>
  <c r="L70" i="1"/>
  <c r="N70" i="1"/>
  <c r="P70" i="1"/>
  <c r="R70" i="1"/>
  <c r="E71" i="1"/>
  <c r="J71" i="1"/>
  <c r="L71" i="1"/>
  <c r="N71" i="1"/>
  <c r="P71" i="1"/>
  <c r="R71" i="1"/>
  <c r="E72" i="1"/>
  <c r="J72" i="1"/>
  <c r="L72" i="1"/>
  <c r="N72" i="1"/>
  <c r="P72" i="1"/>
  <c r="R72" i="1"/>
  <c r="E73" i="1"/>
  <c r="J73" i="1"/>
  <c r="L73" i="1"/>
  <c r="N73" i="1"/>
  <c r="P73" i="1"/>
  <c r="R73" i="1"/>
  <c r="E74" i="1"/>
  <c r="J74" i="1"/>
  <c r="L74" i="1"/>
  <c r="N74" i="1"/>
  <c r="P74" i="1"/>
  <c r="R74" i="1"/>
  <c r="E75" i="1"/>
  <c r="J75" i="1"/>
  <c r="L75" i="1"/>
  <c r="N75" i="1"/>
  <c r="P75" i="1"/>
  <c r="R75" i="1"/>
  <c r="E76" i="1"/>
  <c r="J76" i="1"/>
  <c r="L76" i="1"/>
  <c r="N76" i="1"/>
  <c r="P76" i="1"/>
  <c r="R76" i="1"/>
  <c r="E77" i="1"/>
  <c r="J77" i="1"/>
  <c r="L77" i="1"/>
  <c r="N77" i="1"/>
  <c r="P77" i="1"/>
  <c r="R77" i="1"/>
  <c r="E78" i="1"/>
  <c r="J78" i="1"/>
  <c r="L78" i="1"/>
  <c r="N78" i="1"/>
  <c r="P78" i="1"/>
  <c r="R78" i="1"/>
  <c r="E79" i="1"/>
  <c r="J79" i="1"/>
  <c r="L79" i="1"/>
  <c r="N79" i="1"/>
  <c r="P79" i="1"/>
  <c r="R79" i="1"/>
  <c r="E80" i="1"/>
  <c r="J80" i="1"/>
  <c r="L80" i="1"/>
  <c r="N80" i="1"/>
  <c r="P80" i="1"/>
  <c r="R80" i="1"/>
  <c r="E81" i="1"/>
  <c r="J81" i="1"/>
  <c r="L81" i="1"/>
  <c r="N81" i="1"/>
  <c r="P81" i="1"/>
  <c r="R81" i="1"/>
  <c r="E82" i="1"/>
  <c r="J82" i="1"/>
  <c r="L82" i="1"/>
  <c r="N82" i="1"/>
  <c r="P82" i="1"/>
  <c r="R82" i="1"/>
  <c r="E83" i="1"/>
  <c r="J83" i="1"/>
  <c r="L83" i="1"/>
  <c r="N83" i="1"/>
  <c r="P83" i="1"/>
  <c r="R83" i="1"/>
  <c r="E84" i="1"/>
  <c r="J84" i="1"/>
  <c r="L84" i="1"/>
  <c r="N84" i="1"/>
  <c r="P84" i="1"/>
  <c r="R84" i="1"/>
  <c r="E85" i="1"/>
  <c r="J85" i="1"/>
  <c r="L85" i="1"/>
  <c r="N85" i="1"/>
  <c r="P85" i="1"/>
  <c r="R85" i="1"/>
  <c r="E86" i="1"/>
  <c r="J86" i="1"/>
  <c r="L86" i="1"/>
  <c r="N86" i="1"/>
  <c r="P86" i="1"/>
  <c r="R86" i="1"/>
  <c r="E87" i="1"/>
  <c r="J87" i="1"/>
  <c r="L87" i="1"/>
  <c r="N87" i="1"/>
  <c r="P87" i="1"/>
  <c r="R87" i="1"/>
  <c r="E88" i="1"/>
  <c r="J88" i="1"/>
  <c r="L88" i="1"/>
  <c r="N88" i="1"/>
  <c r="P88" i="1"/>
  <c r="R88" i="1"/>
  <c r="E89" i="1"/>
  <c r="J89" i="1"/>
  <c r="L89" i="1"/>
  <c r="N89" i="1"/>
  <c r="P89" i="1"/>
  <c r="R89" i="1"/>
  <c r="E90" i="1"/>
  <c r="J90" i="1"/>
  <c r="L90" i="1"/>
  <c r="N90" i="1"/>
  <c r="P90" i="1"/>
  <c r="R90" i="1"/>
  <c r="E91" i="1"/>
  <c r="J91" i="1"/>
  <c r="L91" i="1"/>
  <c r="N91" i="1"/>
  <c r="P91" i="1"/>
  <c r="R91" i="1"/>
  <c r="E92" i="1"/>
  <c r="J92" i="1"/>
  <c r="L92" i="1"/>
  <c r="N92" i="1"/>
  <c r="P92" i="1"/>
  <c r="R92" i="1"/>
  <c r="E93" i="1"/>
  <c r="J93" i="1"/>
  <c r="L93" i="1"/>
  <c r="N93" i="1"/>
  <c r="P93" i="1"/>
  <c r="R93" i="1"/>
  <c r="E94" i="1"/>
  <c r="J94" i="1"/>
  <c r="L94" i="1"/>
  <c r="N94" i="1"/>
  <c r="P94" i="1"/>
  <c r="R94" i="1"/>
  <c r="E95" i="1"/>
  <c r="J95" i="1"/>
  <c r="L95" i="1"/>
  <c r="N95" i="1"/>
  <c r="P95" i="1"/>
  <c r="R95" i="1"/>
  <c r="E96" i="1"/>
  <c r="J96" i="1"/>
  <c r="L96" i="1"/>
  <c r="N96" i="1"/>
  <c r="P96" i="1"/>
  <c r="R96" i="1"/>
  <c r="E97" i="1"/>
  <c r="J97" i="1"/>
  <c r="L97" i="1"/>
  <c r="N97" i="1"/>
  <c r="P97" i="1"/>
  <c r="R97" i="1"/>
  <c r="E98" i="1"/>
  <c r="J98" i="1"/>
  <c r="L98" i="1"/>
  <c r="N98" i="1"/>
  <c r="P98" i="1"/>
  <c r="R98" i="1"/>
  <c r="E99" i="1"/>
  <c r="J99" i="1"/>
  <c r="L99" i="1"/>
  <c r="N99" i="1"/>
  <c r="P99" i="1"/>
  <c r="R99" i="1"/>
  <c r="E100" i="1"/>
  <c r="J100" i="1"/>
  <c r="L100" i="1"/>
  <c r="N100" i="1"/>
  <c r="P100" i="1"/>
  <c r="R100" i="1"/>
  <c r="E101" i="1"/>
  <c r="J101" i="1"/>
  <c r="L101" i="1"/>
  <c r="N101" i="1"/>
  <c r="P101" i="1"/>
  <c r="R101" i="1"/>
  <c r="J24" i="1"/>
  <c r="L24" i="1"/>
  <c r="N24" i="1"/>
  <c r="P24" i="1"/>
  <c r="R24" i="1"/>
  <c r="J25" i="1"/>
  <c r="L25" i="1"/>
  <c r="N25" i="1"/>
  <c r="P25" i="1"/>
  <c r="R25" i="1"/>
  <c r="J26" i="1"/>
  <c r="L26" i="1"/>
  <c r="N26" i="1"/>
  <c r="P26" i="1"/>
  <c r="R26" i="1"/>
  <c r="J27" i="1"/>
  <c r="L27" i="1"/>
  <c r="N27" i="1"/>
  <c r="P27" i="1"/>
  <c r="R27" i="1"/>
  <c r="J28" i="1"/>
  <c r="L28" i="1"/>
  <c r="N28" i="1"/>
  <c r="P28" i="1"/>
  <c r="R28" i="1"/>
  <c r="J29" i="1"/>
  <c r="L29" i="1"/>
  <c r="N29" i="1"/>
  <c r="P29" i="1"/>
  <c r="R29" i="1"/>
  <c r="J30" i="1"/>
  <c r="L30" i="1"/>
  <c r="N30" i="1"/>
  <c r="P30" i="1"/>
  <c r="R30" i="1"/>
  <c r="J31" i="1"/>
  <c r="L31" i="1"/>
  <c r="N31" i="1"/>
  <c r="P31" i="1"/>
  <c r="R31" i="1"/>
  <c r="J32" i="1"/>
  <c r="L32" i="1"/>
  <c r="N32" i="1"/>
  <c r="P32" i="1"/>
  <c r="R32" i="1"/>
  <c r="J33" i="1"/>
  <c r="L33" i="1"/>
  <c r="N33" i="1"/>
  <c r="P33" i="1"/>
  <c r="R33" i="1"/>
  <c r="J34" i="1"/>
  <c r="L34" i="1"/>
  <c r="N34" i="1"/>
  <c r="P34" i="1"/>
  <c r="R34" i="1"/>
  <c r="J35" i="1"/>
  <c r="L35" i="1"/>
  <c r="N35" i="1"/>
  <c r="P35" i="1"/>
  <c r="R35" i="1"/>
  <c r="J36" i="1"/>
  <c r="L36" i="1"/>
  <c r="N36" i="1"/>
  <c r="P36" i="1"/>
  <c r="R36" i="1"/>
  <c r="J37" i="1"/>
  <c r="L37" i="1"/>
  <c r="N37" i="1"/>
  <c r="P37" i="1"/>
  <c r="R37" i="1"/>
  <c r="J38" i="1"/>
  <c r="L38" i="1"/>
  <c r="N38" i="1"/>
  <c r="P38" i="1"/>
  <c r="R38" i="1"/>
  <c r="J39" i="1"/>
  <c r="L39" i="1"/>
  <c r="N39" i="1"/>
  <c r="P39" i="1"/>
  <c r="R39" i="1"/>
  <c r="J40" i="1"/>
  <c r="L40" i="1"/>
  <c r="N40" i="1"/>
  <c r="P40" i="1"/>
  <c r="R40" i="1"/>
  <c r="J41" i="1"/>
  <c r="L41" i="1"/>
  <c r="N41" i="1"/>
  <c r="P41" i="1"/>
  <c r="R41" i="1"/>
  <c r="J42" i="1"/>
  <c r="L42" i="1"/>
  <c r="N42" i="1"/>
  <c r="P42" i="1"/>
  <c r="R42" i="1"/>
  <c r="J43" i="1"/>
  <c r="L43" i="1"/>
  <c r="N43" i="1"/>
  <c r="P43" i="1"/>
  <c r="R43" i="1"/>
  <c r="J44" i="1"/>
  <c r="L44" i="1"/>
  <c r="N44" i="1"/>
  <c r="P44" i="1"/>
  <c r="R44" i="1"/>
  <c r="J45" i="1"/>
  <c r="L45" i="1"/>
  <c r="N45" i="1"/>
  <c r="P45" i="1"/>
  <c r="R45" i="1"/>
  <c r="J46" i="1"/>
  <c r="L46" i="1"/>
  <c r="N46" i="1"/>
  <c r="P46" i="1"/>
  <c r="R46" i="1"/>
  <c r="J47" i="1"/>
  <c r="L47" i="1"/>
  <c r="N47" i="1"/>
  <c r="P47" i="1"/>
  <c r="R47" i="1"/>
  <c r="J48" i="1"/>
  <c r="L48" i="1"/>
  <c r="N48" i="1"/>
  <c r="P48" i="1"/>
  <c r="R48" i="1"/>
  <c r="J49" i="1"/>
  <c r="L49" i="1"/>
  <c r="N49" i="1"/>
  <c r="P49" i="1"/>
  <c r="R49" i="1"/>
  <c r="J50" i="1"/>
  <c r="L50" i="1"/>
  <c r="N50" i="1"/>
  <c r="P50" i="1"/>
  <c r="R50" i="1"/>
  <c r="J51" i="1"/>
  <c r="L51" i="1"/>
  <c r="N51" i="1"/>
  <c r="P51" i="1"/>
  <c r="R51" i="1"/>
  <c r="J52" i="1"/>
  <c r="L52" i="1"/>
  <c r="N52" i="1"/>
  <c r="P52" i="1"/>
  <c r="R52" i="1"/>
  <c r="J53" i="1"/>
  <c r="L53" i="1"/>
  <c r="N53" i="1"/>
  <c r="P53" i="1"/>
  <c r="R53" i="1"/>
  <c r="J54" i="1"/>
  <c r="L54" i="1"/>
  <c r="N54" i="1"/>
  <c r="P54" i="1"/>
  <c r="R54" i="1"/>
  <c r="J55" i="1"/>
  <c r="L55" i="1"/>
  <c r="N55" i="1"/>
  <c r="P55" i="1"/>
  <c r="R55" i="1"/>
  <c r="J56" i="1"/>
  <c r="L56" i="1"/>
  <c r="N56" i="1"/>
  <c r="P56" i="1"/>
  <c r="R56" i="1"/>
  <c r="J57" i="1"/>
  <c r="L57" i="1"/>
  <c r="N57" i="1"/>
  <c r="P57" i="1"/>
  <c r="R57" i="1"/>
  <c r="J58" i="1"/>
  <c r="L58" i="1"/>
  <c r="N58" i="1"/>
  <c r="P58" i="1"/>
  <c r="R58" i="1"/>
  <c r="J59" i="1"/>
  <c r="L59" i="1"/>
  <c r="N59" i="1"/>
  <c r="P59" i="1"/>
  <c r="R59" i="1"/>
  <c r="J60" i="1"/>
  <c r="L60" i="1"/>
  <c r="N60" i="1"/>
  <c r="P60" i="1"/>
  <c r="R60" i="1"/>
  <c r="J61" i="1"/>
  <c r="L61" i="1"/>
  <c r="N61" i="1"/>
  <c r="P61" i="1"/>
  <c r="R61" i="1"/>
  <c r="J62" i="1"/>
  <c r="L62" i="1"/>
  <c r="N62" i="1"/>
  <c r="P62" i="1"/>
  <c r="R62" i="1"/>
  <c r="J63" i="1"/>
  <c r="L63" i="1"/>
  <c r="N63" i="1"/>
  <c r="P63" i="1"/>
  <c r="R63" i="1"/>
  <c r="J64" i="1"/>
  <c r="L64" i="1"/>
  <c r="N64" i="1"/>
  <c r="P64" i="1"/>
  <c r="R6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21" i="1"/>
  <c r="E4" i="1"/>
  <c r="E20" i="1"/>
  <c r="E5" i="1"/>
  <c r="E6" i="1"/>
  <c r="E7" i="1"/>
  <c r="E8" i="1"/>
  <c r="E9" i="1"/>
  <c r="E10" i="1"/>
  <c r="E22" i="1"/>
  <c r="E11" i="1"/>
  <c r="E12" i="1"/>
  <c r="E13" i="1"/>
  <c r="E14" i="1"/>
  <c r="E15" i="1"/>
  <c r="E16" i="1"/>
  <c r="E17" i="1"/>
  <c r="E18" i="1"/>
  <c r="E19" i="1"/>
  <c r="E24" i="1"/>
  <c r="E23" i="1"/>
  <c r="A1" i="1"/>
  <c r="N22" i="9" l="1"/>
  <c r="N6" i="9"/>
  <c r="N4" i="9"/>
  <c r="N18" i="9"/>
  <c r="P12" i="9"/>
  <c r="J22" i="9"/>
  <c r="J6" i="9"/>
  <c r="N14" i="9"/>
  <c r="P8" i="9"/>
  <c r="L20" i="9"/>
  <c r="L12" i="9"/>
  <c r="J21" i="9"/>
  <c r="J17" i="9"/>
  <c r="J13" i="9"/>
  <c r="J9" i="9"/>
  <c r="J5" i="9"/>
  <c r="L23" i="9"/>
  <c r="L19" i="9"/>
  <c r="L15" i="9"/>
  <c r="L11" i="9"/>
  <c r="L7" i="9"/>
  <c r="N21" i="9"/>
  <c r="N17" i="9"/>
  <c r="N13" i="9"/>
  <c r="N9" i="9"/>
  <c r="N5" i="9"/>
  <c r="P23" i="9"/>
  <c r="P19" i="9"/>
  <c r="P15" i="9"/>
  <c r="P11" i="9"/>
  <c r="P7" i="9"/>
  <c r="L16" i="9"/>
  <c r="J16" i="9"/>
  <c r="J12" i="9"/>
  <c r="J8" i="9"/>
  <c r="L4" i="9"/>
  <c r="L22" i="9"/>
  <c r="L18" i="9"/>
  <c r="L14" i="9"/>
  <c r="L10" i="9"/>
  <c r="L6" i="9"/>
  <c r="N20" i="9"/>
  <c r="N16" i="9"/>
  <c r="N12" i="9"/>
  <c r="N8" i="9"/>
  <c r="P4" i="9"/>
  <c r="P22" i="9"/>
  <c r="P18" i="9"/>
  <c r="P14" i="9"/>
  <c r="P10" i="9"/>
  <c r="P6" i="9"/>
  <c r="L8" i="9"/>
  <c r="J19" i="9"/>
  <c r="J15" i="9"/>
  <c r="J11" i="9"/>
  <c r="L21" i="9"/>
  <c r="L17" i="9"/>
  <c r="L13" i="9"/>
  <c r="L9" i="9"/>
  <c r="N23" i="9"/>
  <c r="N19" i="9"/>
  <c r="N15" i="9"/>
  <c r="N11" i="9"/>
  <c r="P21" i="9"/>
  <c r="P17" i="9"/>
  <c r="P13" i="9"/>
  <c r="P9" i="9"/>
  <c r="F5" i="9"/>
  <c r="G5" i="9" s="1"/>
  <c r="L4" i="2"/>
  <c r="H14" i="9" l="1"/>
  <c r="H15" i="9"/>
  <c r="F6" i="9"/>
  <c r="H18" i="9"/>
  <c r="H10" i="9"/>
  <c r="H4" i="9"/>
  <c r="H22" i="9"/>
  <c r="H7" i="9"/>
  <c r="H12" i="9"/>
  <c r="H20" i="9"/>
  <c r="H23" i="9"/>
  <c r="H11" i="9"/>
  <c r="H5" i="9"/>
  <c r="H19" i="9"/>
  <c r="H16" i="9"/>
  <c r="H17" i="9"/>
  <c r="H13" i="9"/>
  <c r="H21" i="9"/>
  <c r="H8" i="9"/>
  <c r="H9" i="9"/>
  <c r="H6" i="9"/>
  <c r="F7" i="9"/>
  <c r="G6" i="9"/>
  <c r="F4" i="1"/>
  <c r="R1" i="1"/>
  <c r="P1" i="1"/>
  <c r="N1" i="1"/>
  <c r="L1" i="1"/>
  <c r="J1" i="1"/>
  <c r="F8" i="9" l="1"/>
  <c r="G7" i="9"/>
  <c r="G4" i="1"/>
  <c r="H64" i="1"/>
  <c r="H48" i="1"/>
  <c r="H32" i="1"/>
  <c r="H96" i="1"/>
  <c r="H80" i="1"/>
  <c r="H63" i="1"/>
  <c r="H47" i="1"/>
  <c r="H31" i="1"/>
  <c r="H97" i="1"/>
  <c r="H89" i="1"/>
  <c r="H81" i="1"/>
  <c r="H73" i="1"/>
  <c r="H65" i="1"/>
  <c r="H50" i="1"/>
  <c r="H34" i="1"/>
  <c r="H61" i="1"/>
  <c r="H45" i="1"/>
  <c r="H29" i="1"/>
  <c r="H90" i="1"/>
  <c r="H74" i="1"/>
  <c r="H60" i="1"/>
  <c r="H44" i="1"/>
  <c r="H28" i="1"/>
  <c r="H92" i="1"/>
  <c r="H76" i="1"/>
  <c r="H59" i="1"/>
  <c r="H43" i="1"/>
  <c r="H27" i="1"/>
  <c r="H95" i="1"/>
  <c r="H87" i="1"/>
  <c r="H79" i="1"/>
  <c r="H71" i="1"/>
  <c r="H62" i="1"/>
  <c r="H46" i="1"/>
  <c r="H30" i="1"/>
  <c r="H57" i="1"/>
  <c r="H41" i="1"/>
  <c r="H25" i="1"/>
  <c r="H86" i="1"/>
  <c r="H70" i="1"/>
  <c r="H56" i="1"/>
  <c r="H40" i="1"/>
  <c r="H24" i="1"/>
  <c r="H88" i="1"/>
  <c r="H72" i="1"/>
  <c r="H55" i="1"/>
  <c r="H39" i="1"/>
  <c r="H101" i="1"/>
  <c r="H93" i="1"/>
  <c r="H85" i="1"/>
  <c r="H77" i="1"/>
  <c r="H69" i="1"/>
  <c r="H58" i="1"/>
  <c r="H42" i="1"/>
  <c r="H26" i="1"/>
  <c r="H53" i="1"/>
  <c r="H37" i="1"/>
  <c r="H98" i="1"/>
  <c r="H82" i="1"/>
  <c r="H66" i="1"/>
  <c r="H52" i="1"/>
  <c r="H36" i="1"/>
  <c r="H100" i="1"/>
  <c r="H84" i="1"/>
  <c r="H68" i="1"/>
  <c r="H51" i="1"/>
  <c r="H35" i="1"/>
  <c r="H99" i="1"/>
  <c r="H91" i="1"/>
  <c r="H83" i="1"/>
  <c r="H75" i="1"/>
  <c r="H67" i="1"/>
  <c r="H54" i="1"/>
  <c r="H38" i="1"/>
  <c r="H49" i="1"/>
  <c r="H33" i="1"/>
  <c r="H94" i="1"/>
  <c r="H78" i="1"/>
  <c r="F5" i="1"/>
  <c r="G5" i="1" s="1"/>
  <c r="B13" i="2"/>
  <c r="G8" i="9" l="1"/>
  <c r="F9" i="9"/>
  <c r="F6" i="1"/>
  <c r="G6" i="1" s="1"/>
  <c r="R5" i="1"/>
  <c r="R12" i="1"/>
  <c r="R22" i="1"/>
  <c r="R21" i="1"/>
  <c r="R15" i="1"/>
  <c r="R11" i="1"/>
  <c r="R16" i="1"/>
  <c r="R18" i="1"/>
  <c r="R20" i="1"/>
  <c r="R19" i="1"/>
  <c r="T3" i="2"/>
  <c r="T2" i="2"/>
  <c r="G9" i="9" l="1"/>
  <c r="F10" i="9"/>
  <c r="F7" i="1"/>
  <c r="G7" i="1" s="1"/>
  <c r="R14" i="1"/>
  <c r="R13" i="1"/>
  <c r="R4" i="1"/>
  <c r="R7" i="1"/>
  <c r="R17" i="1"/>
  <c r="R9" i="1"/>
  <c r="R6" i="1"/>
  <c r="R8" i="1"/>
  <c r="R10" i="1"/>
  <c r="R23" i="1"/>
  <c r="F11" i="9" l="1"/>
  <c r="G10" i="9"/>
  <c r="F8" i="1"/>
  <c r="G8" i="1" s="1"/>
  <c r="L3" i="2"/>
  <c r="D4" i="2"/>
  <c r="F12" i="9" l="1"/>
  <c r="G11" i="9"/>
  <c r="F9" i="1"/>
  <c r="G9" i="1" s="1"/>
  <c r="J10" i="1"/>
  <c r="J21" i="1"/>
  <c r="J8" i="1"/>
  <c r="J11" i="1"/>
  <c r="J18" i="1"/>
  <c r="J22" i="1"/>
  <c r="J17" i="1"/>
  <c r="J4" i="1"/>
  <c r="J15" i="1"/>
  <c r="J6" i="1"/>
  <c r="J16" i="1"/>
  <c r="J13" i="1"/>
  <c r="J14" i="1"/>
  <c r="J9" i="1"/>
  <c r="J7" i="1"/>
  <c r="J23" i="1"/>
  <c r="J20" i="1"/>
  <c r="J12" i="1"/>
  <c r="J5" i="1"/>
  <c r="J19" i="1"/>
  <c r="N10" i="1"/>
  <c r="N21" i="1"/>
  <c r="N23" i="1"/>
  <c r="N4" i="1"/>
  <c r="N22" i="1"/>
  <c r="N15" i="1"/>
  <c r="N8" i="1"/>
  <c r="N11" i="1"/>
  <c r="N18" i="1"/>
  <c r="N7" i="1"/>
  <c r="N17" i="1"/>
  <c r="N16" i="1"/>
  <c r="N13" i="1"/>
  <c r="N5" i="1"/>
  <c r="N12" i="1"/>
  <c r="N20" i="1"/>
  <c r="N6" i="1"/>
  <c r="N14" i="1"/>
  <c r="P3" i="2"/>
  <c r="P4" i="2"/>
  <c r="P2" i="2"/>
  <c r="L2" i="2"/>
  <c r="H3" i="2"/>
  <c r="H4" i="2"/>
  <c r="H2" i="2"/>
  <c r="D3" i="2"/>
  <c r="D2" i="2"/>
  <c r="F13" i="9" l="1"/>
  <c r="G12" i="9"/>
  <c r="F10" i="1"/>
  <c r="G10" i="1" s="1"/>
  <c r="L20" i="1"/>
  <c r="L15" i="1"/>
  <c r="L8" i="1"/>
  <c r="L11" i="1"/>
  <c r="L18" i="1"/>
  <c r="L4" i="1"/>
  <c r="L7" i="1"/>
  <c r="L16" i="1"/>
  <c r="L17" i="1"/>
  <c r="L6" i="1"/>
  <c r="L14" i="1"/>
  <c r="L13" i="1"/>
  <c r="L5" i="1"/>
  <c r="L23" i="1"/>
  <c r="L9" i="1"/>
  <c r="L22" i="1"/>
  <c r="L10" i="1"/>
  <c r="L12" i="1"/>
  <c r="L21" i="1"/>
  <c r="L19" i="1"/>
  <c r="P10" i="1"/>
  <c r="P8" i="1"/>
  <c r="P18" i="1"/>
  <c r="P5" i="1"/>
  <c r="P17" i="1"/>
  <c r="P4" i="1"/>
  <c r="P21" i="1"/>
  <c r="P23" i="1"/>
  <c r="P11" i="1"/>
  <c r="P12" i="1"/>
  <c r="P6" i="1"/>
  <c r="P13" i="1"/>
  <c r="P7" i="1"/>
  <c r="N9" i="1"/>
  <c r="P19" i="1"/>
  <c r="P22" i="1"/>
  <c r="P9" i="1"/>
  <c r="P20" i="1"/>
  <c r="P15" i="1"/>
  <c r="P16" i="1"/>
  <c r="P14" i="1"/>
  <c r="N19" i="1"/>
  <c r="G13" i="9" l="1"/>
  <c r="F14" i="9"/>
  <c r="H8" i="1"/>
  <c r="H9" i="1"/>
  <c r="H5" i="1"/>
  <c r="H22" i="1"/>
  <c r="H13" i="1"/>
  <c r="H21" i="1"/>
  <c r="H14" i="1"/>
  <c r="H7" i="1"/>
  <c r="H12" i="1"/>
  <c r="H23" i="1"/>
  <c r="H6" i="1"/>
  <c r="H4" i="1"/>
  <c r="H15" i="1"/>
  <c r="H10" i="1"/>
  <c r="H17" i="1"/>
  <c r="H18" i="1"/>
  <c r="H20" i="1"/>
  <c r="H19" i="1"/>
  <c r="H16" i="1"/>
  <c r="H11" i="1"/>
  <c r="F15" i="9" l="1"/>
  <c r="G14" i="9"/>
  <c r="F11" i="1"/>
  <c r="G11" i="1" s="1"/>
  <c r="F16" i="9" l="1"/>
  <c r="G15" i="9"/>
  <c r="F12" i="1"/>
  <c r="G12" i="1" s="1"/>
  <c r="F17" i="9" l="1"/>
  <c r="G16" i="9"/>
  <c r="F13" i="1"/>
  <c r="G13" i="1" s="1"/>
  <c r="G17" i="9" l="1"/>
  <c r="F18" i="9"/>
  <c r="F14" i="1"/>
  <c r="G14" i="1" s="1"/>
  <c r="F19" i="9" l="1"/>
  <c r="G18" i="9"/>
  <c r="F15" i="1"/>
  <c r="G15" i="1" s="1"/>
  <c r="F20" i="9" l="1"/>
  <c r="G19" i="9"/>
  <c r="F16" i="1"/>
  <c r="G16" i="1" s="1"/>
  <c r="G20" i="9" l="1"/>
  <c r="F21" i="9"/>
  <c r="F17" i="1"/>
  <c r="G17" i="1" s="1"/>
  <c r="G21" i="9" l="1"/>
  <c r="F22" i="9"/>
  <c r="F18" i="1"/>
  <c r="G18" i="1" s="1"/>
  <c r="F23" i="9" l="1"/>
  <c r="G22" i="9"/>
  <c r="F19" i="1"/>
  <c r="F24" i="9" l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F67" i="9" s="1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G23" i="9"/>
  <c r="G19" i="1"/>
  <c r="F20" i="1"/>
  <c r="G20" i="1" s="1"/>
  <c r="F21" i="1" l="1"/>
  <c r="G21" i="1" s="1"/>
  <c r="F22" i="1" l="1"/>
  <c r="G22" i="1" s="1"/>
  <c r="F23" i="1"/>
  <c r="G23" i="1" l="1"/>
  <c r="F24" i="1"/>
  <c r="F25" i="1" s="1"/>
  <c r="F26" i="1" s="1"/>
  <c r="F27" i="1" s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F87" i="1" l="1"/>
  <c r="F88" i="1" l="1"/>
  <c r="F89" i="1" l="1"/>
  <c r="F90" i="1" l="1"/>
  <c r="F91" i="1" l="1"/>
  <c r="F92" i="1" l="1"/>
  <c r="F93" i="1" l="1"/>
  <c r="F94" i="1" l="1"/>
  <c r="F95" i="1" l="1"/>
  <c r="F96" i="1" l="1"/>
  <c r="F97" i="1" l="1"/>
  <c r="F98" i="1" l="1"/>
  <c r="F99" i="1" l="1"/>
  <c r="F100" i="1" l="1"/>
  <c r="F101" i="1" l="1"/>
</calcChain>
</file>

<file path=xl/sharedStrings.xml><?xml version="1.0" encoding="utf-8"?>
<sst xmlns="http://schemas.openxmlformats.org/spreadsheetml/2006/main" count="390" uniqueCount="140">
  <si>
    <t>Nome do Projeto</t>
  </si>
  <si>
    <t>Prioridade</t>
  </si>
  <si>
    <t>Nota</t>
  </si>
  <si>
    <t>Responsável</t>
  </si>
  <si>
    <t>Valor</t>
  </si>
  <si>
    <t>Existe prazo limite para iniciar o projeto ?</t>
  </si>
  <si>
    <t>Peso</t>
  </si>
  <si>
    <t>Pontos</t>
  </si>
  <si>
    <t>Qual é o impacto da realização do projeto para as vendas da CBMM?</t>
  </si>
  <si>
    <t>Qual é o prazo limite para finalizar o projeto ?</t>
  </si>
  <si>
    <t>Qual é a relação esforço/retorno do projeto?</t>
  </si>
  <si>
    <t>Existe necessidade legal para executar o projeto?</t>
  </si>
  <si>
    <t>Qual é o impacto da realização do projeto no aumento de produção/recuperação?</t>
  </si>
  <si>
    <t>Em relação ao impacto na imagem da CBMM:</t>
  </si>
  <si>
    <t>O projeto aumenta o nível de segurança (pessoal, informação e maquinário)?</t>
  </si>
  <si>
    <t>Total</t>
  </si>
  <si>
    <t>Qual é o prazo até o projeto atingir o resultado esperado?</t>
  </si>
  <si>
    <t>Custo do projeto</t>
  </si>
  <si>
    <t>Missão</t>
  </si>
  <si>
    <t>Representar e desenvolver o setor de alimentação fora do lar, contribuindo para um Brasil mais simples de se empreender e melhor para se viver.</t>
  </si>
  <si>
    <t>Visão</t>
  </si>
  <si>
    <t>O setor de alimentação fora do lar protagonista na construção de um Brasil com o jeito Abrasel de ser</t>
  </si>
  <si>
    <t>Valores</t>
  </si>
  <si>
    <t>Sustentabilidade e Qualidade de Vida</t>
  </si>
  <si>
    <t>Promoção da Diversidade e da Inclusão</t>
  </si>
  <si>
    <t>Associativismo com Respeito às Diferenças</t>
  </si>
  <si>
    <t>Democracia e Transparência</t>
  </si>
  <si>
    <t>Amor e Fraternidade</t>
  </si>
  <si>
    <t>Conduta Ética e Integridade</t>
  </si>
  <si>
    <t>Inovação e Ousadia</t>
  </si>
  <si>
    <t>Macro objetivos</t>
  </si>
  <si>
    <t>Abrasel como uma das 10 entidades de representação empresarial mais influentes do Brasil, com presença mínima em 600 municípios</t>
  </si>
  <si>
    <t>Ter reservas financeiras capazes de suportar seus custos fixos no valor equivalente a 3 meses</t>
  </si>
  <si>
    <t>30 mil empresas associadas, 300.000 perfis empresariais digitais cadastrados</t>
  </si>
  <si>
    <t>Ações estratégicas</t>
  </si>
  <si>
    <t>Organizar as ferramentas de gestão e processos para melhorar a gestão da administração das Regionais/Seccionais e repassar esse conhecimento através de cursos e vídeos EAD para treinamento e reciclagem</t>
  </si>
  <si>
    <t>Ajudar as Seccionais/Regionais a construir um plano de priorização para implantar as melhores práticas de serviços prestados aos associados</t>
  </si>
  <si>
    <t>Planejar a sucessão dos cargos de Presidente e Executivo das Seccionais</t>
  </si>
  <si>
    <t>Capacitar os presidentes e executivos das Seccionais através de vídeos explicativos</t>
  </si>
  <si>
    <t>Recomendar a implantação de planejamentos orçamentários nas Seccionais/Regionais</t>
  </si>
  <si>
    <t>Implantar processo de cobranças recorrentes de mensalidade com renovação automática</t>
  </si>
  <si>
    <t>Implantar sistema nacional de coleta de dados do setor AFL</t>
  </si>
  <si>
    <t>Gestão corporativa</t>
  </si>
  <si>
    <t>Soluções para o setor AFL</t>
  </si>
  <si>
    <t>Definir quais ferramentas geram melhor experiência para o usuário, e facilitar seu acesso aos canais de comunicação que gerem os melhores resultados</t>
  </si>
  <si>
    <t>Desenvolver um catálogo de produtos e serviços para associados</t>
  </si>
  <si>
    <t>Estudar a criação de um braço educacional para melhoria da qualidade de mão de obra através dos nossos parceiros estratégicos</t>
  </si>
  <si>
    <t>Mobilizar os órgãos públicos competentes para que exijam o cumprimento da legislação a todo o setor de AFL (comércio informal)</t>
  </si>
  <si>
    <t>Implantar o Open Delivery</t>
  </si>
  <si>
    <t>Representatividade Político
Institucional</t>
  </si>
  <si>
    <t>Ocupar todos os Órgãos consultivos e deliberativos do nosso interesse nos níveis federal, estadual e municipal, com destaque para o Sebrae</t>
  </si>
  <si>
    <t>Criar mecanismos de acompanhamento de projetos e matérias em geral que tramitem nas 3 esferas legislativas</t>
  </si>
  <si>
    <t>Sistematizar a relação com parlamentares e chefes do poder executivo, e apoiar candidatos ao legislativo alinhados à filosofia, histórico e interesses do setor</t>
  </si>
  <si>
    <t>Elaborar propostas de políticas públicas para o setor de AFL e trabalhar pela sua implantação</t>
  </si>
  <si>
    <t>Combater a transferência de recursos do Vale Refeição para o Vale Alimentação do PAT</t>
  </si>
  <si>
    <t>Fomentar alianças estratégicas situacionais com demais entidades empresariais</t>
  </si>
  <si>
    <t>Sustentabilidade e Economia Circular</t>
  </si>
  <si>
    <t>Desenvolver um projeto/campanha de conscientização (educação + comunicação) sobre o tema com foco em líderes da Abrasel, empresários,clientes e sociedade em geral</t>
  </si>
  <si>
    <t>Criação do Selo Verde para Restaurantes com impacto para consumidor final</t>
  </si>
  <si>
    <t>Buscar parcerias com empresas que tenham soluções para destinação adequada
para resíduos sólidos e orgânicos (ex: Aplicativo)</t>
  </si>
  <si>
    <t>Elaborar um diagnóstico da atual gestão de resíduos no setor AFL</t>
  </si>
  <si>
    <t>Participar da construção de políticas públicas que envolvam o tema</t>
  </si>
  <si>
    <t>Participar de Conselhos estaduais ou municipais ligados ao tema</t>
  </si>
  <si>
    <t>Mapear a legislação sobre o tema com impacto direto nas empresas do setor AFL</t>
  </si>
  <si>
    <t>Fomentar a discussão para melhorar o relacionamento entre as empresas de AFL e o setor de entregadores (delivery)</t>
  </si>
  <si>
    <t>O projeto aumenta a influência da Abrasel perante à sociedade (governo, empresários, parceiros)?</t>
  </si>
  <si>
    <t>O projeto aumenta a presença da Abrasel em quantidade de municípios?</t>
  </si>
  <si>
    <t>Sim, o projeto aumenta, de forma indireta, a influência da Abrasel perante à sociedade.</t>
  </si>
  <si>
    <t>Sim, o projeto aumenta, de forma direta, a influência da Abrasel perante à Sociedade.</t>
  </si>
  <si>
    <t>Sim, o projeto aumenta, de forma significativa, a presença da Abrasel em quantidade de municípios.</t>
  </si>
  <si>
    <t>Sim, o projeto aumenta, de forma discreta, a presença da Abrasel em quantidade de municípios.</t>
  </si>
  <si>
    <t>O projeto não aumenta a influência da Abrasel perante à sociedade.</t>
  </si>
  <si>
    <t>O projeto não aumenta a presença da Abrasel em quantidade de municípios.</t>
  </si>
  <si>
    <t>O projeto propicia receitas financeiras para a organização?</t>
  </si>
  <si>
    <t>O projeto não porpicia receitas financeiras para a organização.</t>
  </si>
  <si>
    <t xml:space="preserve">O projeto aumenta a quantidade de associados? </t>
  </si>
  <si>
    <t>Sim, o projeto propicia receitas financeiras significativas para a organização.</t>
  </si>
  <si>
    <t>Sim, o projeto propicia receitas financeiras discretas para a organização.</t>
  </si>
  <si>
    <t>Sim, o projeto aumenta a quantidade de associados de forma significativa.</t>
  </si>
  <si>
    <t>Sim, o projeto aumenta a quantidade de associados de forma discreta.</t>
  </si>
  <si>
    <t>O projeto não aumenta a quantidade de associados.</t>
  </si>
  <si>
    <t>O projeto gera benefícios disruptivos para o setor de alimentação fora do lar?</t>
  </si>
  <si>
    <t>Sim, o projeto gera benefícios disruptivos para o setor de alimentação fora do lar.</t>
  </si>
  <si>
    <t>O projeto não gera benefícios disruptivos para o setor de alimentação fora do lar.</t>
  </si>
  <si>
    <t>Critérios</t>
  </si>
  <si>
    <t>AVA</t>
  </si>
  <si>
    <t>Revista Bares e Restaurantes /Digital</t>
  </si>
  <si>
    <t>Área</t>
  </si>
  <si>
    <t>Ze Edu</t>
  </si>
  <si>
    <t>Conteúdo,Kukac</t>
  </si>
  <si>
    <t>Zé Edu/Danilo</t>
  </si>
  <si>
    <t>Comunicação, Conteúdo</t>
  </si>
  <si>
    <t>Rede Abrasel</t>
  </si>
  <si>
    <t>Paula</t>
  </si>
  <si>
    <t>Conteudo, Comercial e Comunicação</t>
  </si>
  <si>
    <t>Projeto Cidade Inclusiva</t>
  </si>
  <si>
    <t>Gabriel</t>
  </si>
  <si>
    <t>Site Comercial</t>
  </si>
  <si>
    <t>André</t>
  </si>
  <si>
    <t>LF, Comunicação</t>
  </si>
  <si>
    <t>Manifesto Brasil Novo</t>
  </si>
  <si>
    <t>Sou Abrasel</t>
  </si>
  <si>
    <t>Economia Circular</t>
  </si>
  <si>
    <t>Encontro Nacional</t>
  </si>
  <si>
    <t>Brasil Sabor</t>
  </si>
  <si>
    <t>Congresso Abrasel</t>
  </si>
  <si>
    <t>O Quilo é nosso</t>
  </si>
  <si>
    <t>Semana da Criança</t>
  </si>
  <si>
    <t>Festival Bar em Bar</t>
  </si>
  <si>
    <t>Vila Matiolli</t>
  </si>
  <si>
    <t>Semana de Alimentação Fora do Lar</t>
  </si>
  <si>
    <t>Conexão Abrasel</t>
  </si>
  <si>
    <t>Aceleradora</t>
  </si>
  <si>
    <t>Open Delivery</t>
  </si>
  <si>
    <t>ABRASEL DATALAB</t>
  </si>
  <si>
    <t>Paulo Jelihovschi</t>
  </si>
  <si>
    <t>Lucas</t>
  </si>
  <si>
    <t>Luiza</t>
  </si>
  <si>
    <t>Fred</t>
  </si>
  <si>
    <t>Conteudo, Comunicação, Comercial e Financeira, Presidencia</t>
  </si>
  <si>
    <t>Carlos Zafred</t>
  </si>
  <si>
    <t>Presidencia</t>
  </si>
  <si>
    <t>Christiana Duarte</t>
  </si>
  <si>
    <t>Valores acumulados</t>
  </si>
  <si>
    <t>O projeto reduz as despesas da Abrasel?</t>
  </si>
  <si>
    <t>O projeto melhora os processos internos da Abrasel?</t>
  </si>
  <si>
    <t>O projeto propicia entregas das áreas Abrasel mais assertivas, no prazo e qualidade?</t>
  </si>
  <si>
    <t xml:space="preserve">O projeto aumenta a produtividade da área relacionada? </t>
  </si>
  <si>
    <t>Sim, o projeto reduz, de forma direta, as despesas da Abrasel.</t>
  </si>
  <si>
    <t>Sim, o projeto reduz, de forma indireta, as despesas da Abrasel.</t>
  </si>
  <si>
    <t>O projeto não reduz as despesas da Abrasel.</t>
  </si>
  <si>
    <t>Sim, o projeto aumenta, de forma significativa, os processos internos da Abrasel.</t>
  </si>
  <si>
    <t>Sim, o projeto aumenta, de forma discreta, os processos internos da Abrasel.</t>
  </si>
  <si>
    <t>O projeto não melhora os processos internos da Abrasel.</t>
  </si>
  <si>
    <t>O projeto não gera impacto na assertividade, prazo e qualidade das entregas das áreas da Abrasel.</t>
  </si>
  <si>
    <t>Sim, o projeto gera impacto direto na assertividade, prazo e qualidade das entregas das áreas da Abrasel.</t>
  </si>
  <si>
    <t>Sim, o projeto gera impacto indireto na assertividade, prazo e qualidade das entregas das áreas da Abrasel.</t>
  </si>
  <si>
    <t>Sim, o projeto aumenta, de forma significativa, a produtividade da área relacionada.</t>
  </si>
  <si>
    <t>Sim, o projeto aumenta, de forma discreta, a produtividade da área relacionada.</t>
  </si>
  <si>
    <t>O projeto não aumenta a produtividade da área relacionada.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</si>
</sst>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Protection="0"/>
  </cellStyleXfs>
  <cellXfs count="39">
    <xf numFmtId="0" fontId="0" fillId="0" borderId="0" xfId="0"/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0" borderId="4" xfId="0" applyBorder="1"/>
    <xf numFmtId="0" fontId="4" fillId="2" borderId="4" xfId="1" applyNumberFormat="1" applyFont="1" applyFill="1" applyBorder="1" applyAlignment="1">
      <alignment horizontal="center" vertical="center" wrapText="1"/>
    </xf>
    <xf numFmtId="14" fontId="5" fillId="4" borderId="4" xfId="0" applyNumberFormat="1" applyFont="1" applyFill="1" applyBorder="1" applyAlignment="1">
      <alignment horizontal="left" vertical="center" wrapText="1"/>
    </xf>
    <xf numFmtId="0" fontId="5" fillId="4" borderId="4" xfId="0" applyNumberFormat="1" applyFont="1" applyFill="1" applyBorder="1" applyAlignment="1">
      <alignment horizontal="center" vertical="center" wrapText="1"/>
    </xf>
    <xf numFmtId="1" fontId="5" fillId="4" borderId="4" xfId="0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0" fillId="2" borderId="4" xfId="0" applyFill="1" applyBorder="1"/>
    <xf numFmtId="0" fontId="0" fillId="0" borderId="4" xfId="0" applyBorder="1" applyAlignment="1">
      <alignment horizontal="center"/>
    </xf>
    <xf numFmtId="0" fontId="0" fillId="0" borderId="0" xfId="0"/>
    <xf numFmtId="10" fontId="0" fillId="0" borderId="0" xfId="0" applyNumberFormat="1"/>
    <xf numFmtId="0" fontId="2" fillId="0" borderId="0" xfId="0" applyFont="1"/>
    <xf numFmtId="0" fontId="0" fillId="0" borderId="0" xfId="0" applyAlignment="1"/>
    <xf numFmtId="0" fontId="2" fillId="0" borderId="0" xfId="0" applyFont="1" applyAlignment="1"/>
    <xf numFmtId="0" fontId="0" fillId="0" borderId="0" xfId="0" applyFont="1"/>
    <xf numFmtId="10" fontId="0" fillId="0" borderId="4" xfId="0" applyNumberFormat="1" applyBorder="1"/>
    <xf numFmtId="0" fontId="4" fillId="6" borderId="4" xfId="1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Border="1" applyAlignment="1">
      <alignment vertical="center"/>
    </xf>
    <xf numFmtId="0" fontId="0" fillId="5" borderId="0" xfId="0" applyFill="1" applyBorder="1" applyAlignment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5" borderId="0" xfId="0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NumberFormat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Alignment="1">
      <alignment horizontal="center" vertical="center" wrapText="1"/>
    </xf>
  </cellXfs>
  <cellStyles count="2">
    <cellStyle name="Normal" xfId="0" builtinId="0"/>
    <cellStyle name="Normal 63" xfId="1" xr:uid="{00000000-0005-0000-0000-000001000000}"/>
  </cellStyles>
  <dxfs count="6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523876</xdr:colOff>
      <xdr:row>0</xdr:row>
      <xdr:rowOff>166688</xdr:rowOff>
    </xdr:from>
    <xdr:to>
      <xdr:col>0</xdr:col>
      <xdr:colOff>3679032</xdr:colOff>
      <xdr:row>0</xdr:row>
      <xdr:rowOff>1214438</xdr:rowOff>
    </xdr:to>
    <xdr:sp macro="[0]!Prioriz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9AF24FD-800B-4AEE-8C04-20387C96043F}"/>
            </a:ext>
          </a:extLst>
        </xdr:cNvPr>
        <xdr:cNvSpPr/>
      </xdr:nvSpPr>
      <xdr:spPr>
        <a:xfrm>
          <a:off x="523876" y="166688"/>
          <a:ext cx="3155156" cy="1047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/>
            <a:t>Priorizar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166687</xdr:colOff>
      <xdr:row>0</xdr:row>
      <xdr:rowOff>178594</xdr:rowOff>
    </xdr:from>
    <xdr:to>
      <xdr:col>0</xdr:col>
      <xdr:colOff>3964781</xdr:colOff>
      <xdr:row>0</xdr:row>
      <xdr:rowOff>1345406</xdr:rowOff>
    </xdr:to>
    <xdr:sp macro="[0]!Priorizar_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6CA201-A8A2-4A4E-A949-B9606B08E747}"/>
            </a:ext>
          </a:extLst>
        </xdr:cNvPr>
        <xdr:cNvSpPr/>
      </xdr:nvSpPr>
      <xdr:spPr>
        <a:xfrm>
          <a:off x="166687" y="178594"/>
          <a:ext cx="3798094" cy="116681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/>
            <a:t>Priorizar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63A91-EA92-4BDE-BECC-A33ECE2F061C}">
  <sheetPr codeName="Planilha1"/>
  <dimension ref="A3:C45"/>
  <sheetViews>
    <sheetView workbookViewId="0">
      <selection activeCell="K13" sqref="K13"/>
    </sheetView>
  </sheetViews>
  <sheetFormatPr defaultRowHeight="15" x14ac:dyDescent="0.25"/>
  <cols>
    <col min="1" max="1" width="17.5703125" bestFit="1" customWidth="1"/>
  </cols>
  <sheetData>
    <row r="3" spans="1:2" x14ac:dyDescent="0.25">
      <c r="A3" t="s">
        <v>18</v>
      </c>
      <c r="B3" t="s">
        <v>19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23</v>
      </c>
    </row>
    <row r="6" spans="1:2" x14ac:dyDescent="0.25">
      <c r="B6" t="s">
        <v>24</v>
      </c>
    </row>
    <row r="7" spans="1:2" x14ac:dyDescent="0.25">
      <c r="B7" t="s">
        <v>25</v>
      </c>
    </row>
    <row r="8" spans="1:2" x14ac:dyDescent="0.25">
      <c r="B8" t="s">
        <v>26</v>
      </c>
    </row>
    <row r="9" spans="1:2" x14ac:dyDescent="0.25">
      <c r="B9" t="s">
        <v>27</v>
      </c>
    </row>
    <row r="10" spans="1:2" x14ac:dyDescent="0.25">
      <c r="B10" t="s">
        <v>28</v>
      </c>
    </row>
    <row r="11" spans="1:2" x14ac:dyDescent="0.25">
      <c r="B11" t="s">
        <v>29</v>
      </c>
    </row>
    <row r="12" spans="1:2" x14ac:dyDescent="0.25">
      <c r="A12" t="s">
        <v>30</v>
      </c>
      <c r="B12" t="s">
        <v>31</v>
      </c>
    </row>
    <row r="13" spans="1:2" x14ac:dyDescent="0.25">
      <c r="B13" t="s">
        <v>32</v>
      </c>
    </row>
    <row r="14" spans="1:2" x14ac:dyDescent="0.25">
      <c r="B14" t="s">
        <v>33</v>
      </c>
    </row>
    <row r="15" spans="1:2" x14ac:dyDescent="0.25">
      <c r="A15" t="s">
        <v>34</v>
      </c>
      <c r="B15" s="15" t="s">
        <v>42</v>
      </c>
    </row>
    <row r="16" spans="1:2" x14ac:dyDescent="0.25">
      <c r="B16" t="s">
        <v>35</v>
      </c>
    </row>
    <row r="17" spans="2:2" x14ac:dyDescent="0.25">
      <c r="B17" t="s">
        <v>36</v>
      </c>
    </row>
    <row r="18" spans="2:2" x14ac:dyDescent="0.25">
      <c r="B18" t="s">
        <v>37</v>
      </c>
    </row>
    <row r="19" spans="2:2" x14ac:dyDescent="0.25">
      <c r="B19" t="s">
        <v>38</v>
      </c>
    </row>
    <row r="20" spans="2:2" x14ac:dyDescent="0.25">
      <c r="B20" t="s">
        <v>39</v>
      </c>
    </row>
    <row r="21" spans="2:2" x14ac:dyDescent="0.25">
      <c r="B21" t="s">
        <v>40</v>
      </c>
    </row>
    <row r="22" spans="2:2" x14ac:dyDescent="0.25">
      <c r="B22" t="s">
        <v>41</v>
      </c>
    </row>
    <row r="23" spans="2:2" x14ac:dyDescent="0.25">
      <c r="B23" t="s">
        <v>41</v>
      </c>
    </row>
    <row r="24" spans="2:2" x14ac:dyDescent="0.25">
      <c r="B24" s="15" t="s">
        <v>43</v>
      </c>
    </row>
    <row r="25" spans="2:2" x14ac:dyDescent="0.25">
      <c r="B25" t="s">
        <v>44</v>
      </c>
    </row>
    <row r="26" spans="2:2" x14ac:dyDescent="0.25">
      <c r="B26" t="s">
        <v>45</v>
      </c>
    </row>
    <row r="27" spans="2:2" x14ac:dyDescent="0.25">
      <c r="B27" t="s">
        <v>46</v>
      </c>
    </row>
    <row r="28" spans="2:2" x14ac:dyDescent="0.25">
      <c r="B28" t="s">
        <v>47</v>
      </c>
    </row>
    <row r="29" spans="2:2" x14ac:dyDescent="0.25">
      <c r="B29" t="s">
        <v>48</v>
      </c>
    </row>
    <row r="30" spans="2:2" x14ac:dyDescent="0.25">
      <c r="B30" s="17" t="s">
        <v>49</v>
      </c>
    </row>
    <row r="31" spans="2:2" x14ac:dyDescent="0.25">
      <c r="B31" t="s">
        <v>50</v>
      </c>
    </row>
    <row r="32" spans="2:2" x14ac:dyDescent="0.25">
      <c r="B32" t="s">
        <v>51</v>
      </c>
    </row>
    <row r="33" spans="2:3" x14ac:dyDescent="0.25">
      <c r="B33" t="s">
        <v>52</v>
      </c>
    </row>
    <row r="34" spans="2:3" x14ac:dyDescent="0.25">
      <c r="B34" t="s">
        <v>53</v>
      </c>
    </row>
    <row r="35" spans="2:3" x14ac:dyDescent="0.25">
      <c r="B35" t="s">
        <v>54</v>
      </c>
    </row>
    <row r="36" spans="2:3" x14ac:dyDescent="0.25">
      <c r="B36" t="s">
        <v>55</v>
      </c>
    </row>
    <row r="37" spans="2:3" x14ac:dyDescent="0.25">
      <c r="B37" s="15" t="s">
        <v>56</v>
      </c>
    </row>
    <row r="38" spans="2:3" x14ac:dyDescent="0.25">
      <c r="B38" t="s">
        <v>57</v>
      </c>
    </row>
    <row r="39" spans="2:3" x14ac:dyDescent="0.25">
      <c r="C39" t="s">
        <v>58</v>
      </c>
    </row>
    <row r="40" spans="2:3" x14ac:dyDescent="0.25">
      <c r="C40" s="16" t="s">
        <v>59</v>
      </c>
    </row>
    <row r="41" spans="2:3" x14ac:dyDescent="0.25">
      <c r="C41" t="s">
        <v>60</v>
      </c>
    </row>
    <row r="42" spans="2:3" x14ac:dyDescent="0.25">
      <c r="B42" t="s">
        <v>61</v>
      </c>
    </row>
    <row r="43" spans="2:3" x14ac:dyDescent="0.25">
      <c r="C43" t="s">
        <v>62</v>
      </c>
    </row>
    <row r="44" spans="2:3" x14ac:dyDescent="0.25">
      <c r="C44" t="s">
        <v>63</v>
      </c>
    </row>
    <row r="45" spans="2:3" x14ac:dyDescent="0.25">
      <c r="B45" s="18" t="s">
        <v>64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X101"/>
  <sheetViews>
    <sheetView showGridLines="0" tabSelected="1" zoomScale="80" zoomScaleNormal="80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C6" sqref="C6"/>
    </sheetView>
  </sheetViews>
  <sheetFormatPr defaultRowHeight="15" x14ac:dyDescent="0.25"/>
  <cols>
    <col min="1" max="1" width="63.140625" style="24" bestFit="1" customWidth="1"/>
    <col min="2" max="2" width="19.5703125" style="24" bestFit="1" customWidth="1"/>
    <col min="3" max="3" width="22.42578125" style="33" bestFit="1" customWidth="1"/>
    <col min="4" max="4" width="15.5703125" style="29" bestFit="1" customWidth="1"/>
    <col min="5" max="6" width="15.5703125" style="29" hidden="1" customWidth="1"/>
    <col min="7" max="7" width="20" style="24" bestFit="1" customWidth="1"/>
    <col min="8" max="8" width="14.28515625" style="24" bestFit="1" customWidth="1"/>
    <col min="9" max="9" width="38" style="33" customWidth="1"/>
    <col min="10" max="10" width="8.7109375" style="24" customWidth="1"/>
    <col min="11" max="11" width="46.28515625" style="33" customWidth="1"/>
    <col min="12" max="12" width="8.7109375" style="24" customWidth="1"/>
    <col min="13" max="13" width="38.85546875" style="33" customWidth="1"/>
    <col min="14" max="14" width="8.7109375" style="24" customWidth="1"/>
    <col min="15" max="15" width="38.7109375" style="33" customWidth="1"/>
    <col min="16" max="16" width="8.7109375" style="24" customWidth="1"/>
    <col min="17" max="17" width="44.42578125" style="33" customWidth="1"/>
    <col min="18" max="18" width="8.7109375" style="24" customWidth="1"/>
    <col min="19" max="16384" width="9.140625" style="29"/>
  </cols>
  <sheetData>
    <row r="1" spans="1:24" customFormat="1" ht="114.75" customHeight="1" thickBot="1" x14ac:dyDescent="0.3">
      <c r="A1" s="38">
        <f>COUNTA(A4:A101)</f>
        <v>20</v>
      </c>
      <c r="C1" s="33"/>
      <c r="E1" s="13"/>
      <c r="F1" s="13"/>
      <c r="I1" s="21"/>
      <c r="J1" s="14">
        <f>'Auxiliar (Foco externo)'!B8</f>
        <v>0.25</v>
      </c>
      <c r="K1" s="21"/>
      <c r="L1" s="14">
        <f>'Auxiliar (Foco externo)'!B9</f>
        <v>0.125</v>
      </c>
      <c r="M1" s="21"/>
      <c r="N1" s="14">
        <f>'Auxiliar (Foco externo)'!B10</f>
        <v>0.25</v>
      </c>
      <c r="O1" s="21"/>
      <c r="P1" s="14">
        <f>'Auxiliar (Foco externo)'!B11</f>
        <v>0.125</v>
      </c>
      <c r="Q1" s="21"/>
      <c r="R1" s="14">
        <f>'Auxiliar (Foco externo)'!B12</f>
        <v>0.25</v>
      </c>
    </row>
    <row r="2" spans="1:24" customFormat="1" ht="94.5" customHeight="1" thickBot="1" x14ac:dyDescent="0.3">
      <c r="A2" s="1" t="s">
        <v>0</v>
      </c>
      <c r="B2" s="1" t="s">
        <v>3</v>
      </c>
      <c r="C2" s="1" t="s">
        <v>87</v>
      </c>
      <c r="D2" s="2" t="s">
        <v>17</v>
      </c>
      <c r="E2" s="9" t="s">
        <v>22</v>
      </c>
      <c r="F2" s="9" t="s">
        <v>123</v>
      </c>
      <c r="G2" s="1" t="s">
        <v>1</v>
      </c>
      <c r="H2" s="1" t="s">
        <v>4</v>
      </c>
      <c r="I2" s="1" t="s">
        <v>65</v>
      </c>
      <c r="J2" s="1" t="s">
        <v>2</v>
      </c>
      <c r="K2" s="1" t="s">
        <v>66</v>
      </c>
      <c r="L2" s="1" t="s">
        <v>2</v>
      </c>
      <c r="M2" s="1" t="s">
        <v>73</v>
      </c>
      <c r="N2" s="1" t="s">
        <v>2</v>
      </c>
      <c r="O2" s="1" t="s">
        <v>75</v>
      </c>
      <c r="P2" s="1" t="s">
        <v>2</v>
      </c>
      <c r="Q2" s="1" t="s">
        <v>81</v>
      </c>
      <c r="R2" s="9" t="s">
        <v>2</v>
      </c>
    </row>
    <row r="3" spans="1:24" s="37" customFormat="1" ht="10.5" hidden="1" customHeight="1" x14ac:dyDescent="0.25">
      <c r="A3" s="35"/>
      <c r="B3" s="35"/>
      <c r="C3" s="35"/>
      <c r="D3" s="36"/>
      <c r="E3" s="36"/>
      <c r="F3" s="36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6"/>
    </row>
    <row r="4" spans="1:24" s="24" customFormat="1" ht="45" x14ac:dyDescent="0.25">
      <c r="A4" s="23" t="s">
        <v>112</v>
      </c>
      <c r="B4" s="23" t="s">
        <v>120</v>
      </c>
      <c r="C4" s="22" t="s">
        <v>102</v>
      </c>
      <c r="D4" s="23"/>
      <c r="E4" s="23">
        <f>COUNTA(A4)</f>
        <v>1</v>
      </c>
      <c r="F4" s="23">
        <f>E4+F3</f>
        <v>1</v>
      </c>
      <c r="G4" s="25" t="str">
        <f>IF(A4="","C",IF(F4&lt;=0.2*$A$1,"A",IF(F4&lt;=0.5*$A$1,"B","C")))</f>
        <v>A</v>
      </c>
      <c r="H4" s="34">
        <f>IFERROR((J4*$J$1)+(L4*$L$1)+(N4*$N$1)+(P4*$P$1)+(R4*$R$1),0)</f>
        <v>5.125</v>
      </c>
      <c r="I4" s="22" t="s">
        <v>68</v>
      </c>
      <c r="J4" s="26">
        <f>IFERROR(VLOOKUP(I4,'Auxiliar (Foco externo)'!$A$2:$D$4,4,0),"")</f>
        <v>10</v>
      </c>
      <c r="K4" s="22" t="s">
        <v>70</v>
      </c>
      <c r="L4" s="26">
        <f>IFERROR(VLOOKUP(K4,'Auxiliar (Foco externo)'!$E$2:$H$4,4,0),"")</f>
        <v>6</v>
      </c>
      <c r="M4" s="22" t="s">
        <v>77</v>
      </c>
      <c r="N4" s="26">
        <f>IFERROR(VLOOKUP(M4,'Auxiliar (Foco externo)'!$I$2:$L$4,4,0),"")</f>
        <v>6</v>
      </c>
      <c r="O4" s="22" t="s">
        <v>80</v>
      </c>
      <c r="P4" s="26">
        <f>IFERROR(VLOOKUP(O4,'Auxiliar (Foco externo)'!$M$2:$P$4,4,0),"")</f>
        <v>1</v>
      </c>
      <c r="Q4" s="22" t="s">
        <v>83</v>
      </c>
      <c r="R4" s="26">
        <f>IFERROR(VLOOKUP(Q4,'Auxiliar (Foco externo)'!$Q$2:$T$4,4,0),"")</f>
        <v>1</v>
      </c>
    </row>
    <row r="5" spans="1:24" s="24" customFormat="1" ht="45" x14ac:dyDescent="0.25">
      <c r="A5" s="23" t="s">
        <v>95</v>
      </c>
      <c r="B5" s="23" t="s">
        <v>96</v>
      </c>
      <c r="C5" s="22" t="s">
        <v>15</v>
      </c>
      <c r="D5" s="23"/>
      <c r="E5" s="23">
        <f>COUNTA(A5)</f>
        <v>1</v>
      </c>
      <c r="F5" s="23">
        <f>E5+F4</f>
        <v>2</v>
      </c>
      <c r="G5" s="25" t="str">
        <f>IF(A5="","C",IF(F5&lt;=0.2*$A$1,"A",IF(F5&lt;=0.5*$A$1,"B","C")))</f>
        <v>A</v>
      </c>
      <c r="H5" s="34">
        <f>IFERROR((J5*$J$1)+(L5*$L$1)+(N5*$N$1)+(P5*$P$1)+(R5*$R$1),0)</f>
        <v>5.125</v>
      </c>
      <c r="I5" s="22" t="s">
        <v>68</v>
      </c>
      <c r="J5" s="26">
        <f>IFERROR(VLOOKUP(I5,'Auxiliar (Foco externo)'!$A$2:$D$4,4,0),"")</f>
        <v>10</v>
      </c>
      <c r="K5" s="22" t="s">
        <v>70</v>
      </c>
      <c r="L5" s="26">
        <f>IFERROR(VLOOKUP(K5,'Auxiliar (Foco externo)'!$E$2:$H$4,4,0),"")</f>
        <v>6</v>
      </c>
      <c r="M5" s="22" t="s">
        <v>77</v>
      </c>
      <c r="N5" s="26">
        <f>IFERROR(VLOOKUP(M5,'Auxiliar (Foco externo)'!$I$2:$L$4,4,0),"")</f>
        <v>6</v>
      </c>
      <c r="O5" s="22" t="s">
        <v>80</v>
      </c>
      <c r="P5" s="26">
        <f>IFERROR(VLOOKUP(O5,'Auxiliar (Foco externo)'!$M$2:$P$4,4,0),"")</f>
        <v>1</v>
      </c>
      <c r="Q5" s="22" t="s">
        <v>83</v>
      </c>
      <c r="R5" s="26">
        <f>IFERROR(VLOOKUP(Q5,'Auxiliar (Foco externo)'!$Q$2:$T$4,4,0),"")</f>
        <v>1</v>
      </c>
    </row>
    <row r="6" spans="1:24" s="24" customFormat="1" ht="45" x14ac:dyDescent="0.25">
      <c r="A6" s="23" t="s">
        <v>97</v>
      </c>
      <c r="B6" s="23" t="s">
        <v>98</v>
      </c>
      <c r="C6" s="22" t="s">
        <v>99</v>
      </c>
      <c r="D6" s="23"/>
      <c r="E6" s="23">
        <f>COUNTA(A6)</f>
        <v>1</v>
      </c>
      <c r="F6" s="23">
        <f>E6+F5</f>
        <v>3</v>
      </c>
      <c r="G6" s="25" t="str">
        <f>IF(A6="","C",IF(F6&lt;=0.2*$A$1,"A",IF(F6&lt;=0.5*$A$1,"B","C")))</f>
        <v>A</v>
      </c>
      <c r="H6" s="34">
        <f>IFERROR((J6*$J$1)+(L6*$L$1)+(N6*$N$1)+(P6*$P$1)+(R6*$R$1),0)</f>
        <v>5.125</v>
      </c>
      <c r="I6" s="22" t="s">
        <v>68</v>
      </c>
      <c r="J6" s="26">
        <f>IFERROR(VLOOKUP(I6,'Auxiliar (Foco externo)'!$A$2:$D$4,4,0),"")</f>
        <v>10</v>
      </c>
      <c r="K6" s="22" t="s">
        <v>70</v>
      </c>
      <c r="L6" s="26">
        <f>IFERROR(VLOOKUP(K6,'Auxiliar (Foco externo)'!$E$2:$H$4,4,0),"")</f>
        <v>6</v>
      </c>
      <c r="M6" s="22" t="s">
        <v>77</v>
      </c>
      <c r="N6" s="26">
        <f>IFERROR(VLOOKUP(M6,'Auxiliar (Foco externo)'!$I$2:$L$4,4,0),"")</f>
        <v>6</v>
      </c>
      <c r="O6" s="22" t="s">
        <v>80</v>
      </c>
      <c r="P6" s="26">
        <f>IFERROR(VLOOKUP(O6,'Auxiliar (Foco externo)'!$M$2:$P$4,4,0),"")</f>
        <v>1</v>
      </c>
      <c r="Q6" s="22" t="s">
        <v>83</v>
      </c>
      <c r="R6" s="26">
        <f>IFERROR(VLOOKUP(Q6,'Auxiliar (Foco externo)'!$Q$2:$T$4,4,0),"")</f>
        <v>1</v>
      </c>
    </row>
    <row r="7" spans="1:24" s="24" customFormat="1" ht="60" x14ac:dyDescent="0.25">
      <c r="A7" s="23" t="s">
        <v>107</v>
      </c>
      <c r="B7" s="23" t="s">
        <v>118</v>
      </c>
      <c r="C7" s="22" t="s">
        <v>119</v>
      </c>
      <c r="D7" s="23"/>
      <c r="E7" s="23">
        <f>COUNTA(A7)</f>
        <v>1</v>
      </c>
      <c r="F7" s="23">
        <f>E7+F6</f>
        <v>4</v>
      </c>
      <c r="G7" s="25" t="str">
        <f>IF(A7="","C",IF(F7&lt;=0.2*$A$1,"A",IF(F7&lt;=0.5*$A$1,"B","C")))</f>
        <v>A</v>
      </c>
      <c r="H7" s="34">
        <f>IFERROR((J7*$J$1)+(L7*$L$1)+(N7*$N$1)+(P7*$P$1)+(R7*$R$1),0)</f>
        <v>5.125</v>
      </c>
      <c r="I7" s="22" t="s">
        <v>68</v>
      </c>
      <c r="J7" s="26">
        <f>IFERROR(VLOOKUP(I7,'Auxiliar (Foco externo)'!$A$2:$D$4,4,0),"")</f>
        <v>10</v>
      </c>
      <c r="K7" s="22" t="s">
        <v>70</v>
      </c>
      <c r="L7" s="26">
        <f>IFERROR(VLOOKUP(K7,'Auxiliar (Foco externo)'!$E$2:$H$4,4,0),"")</f>
        <v>6</v>
      </c>
      <c r="M7" s="22" t="s">
        <v>77</v>
      </c>
      <c r="N7" s="26">
        <f>IFERROR(VLOOKUP(M7,'Auxiliar (Foco externo)'!$I$2:$L$4,4,0),"")</f>
        <v>6</v>
      </c>
      <c r="O7" s="22" t="s">
        <v>80</v>
      </c>
      <c r="P7" s="26">
        <f>IFERROR(VLOOKUP(O7,'Auxiliar (Foco externo)'!$M$2:$P$4,4,0),"")</f>
        <v>1</v>
      </c>
      <c r="Q7" s="22" t="s">
        <v>83</v>
      </c>
      <c r="R7" s="26">
        <f>IFERROR(VLOOKUP(Q7,'Auxiliar (Foco externo)'!$Q$2:$T$4,4,0),"")</f>
        <v>1</v>
      </c>
    </row>
    <row r="8" spans="1:24" ht="60" x14ac:dyDescent="0.25">
      <c r="A8" s="23" t="s">
        <v>110</v>
      </c>
      <c r="B8" s="23" t="s">
        <v>118</v>
      </c>
      <c r="C8" s="22" t="s">
        <v>119</v>
      </c>
      <c r="D8" s="23"/>
      <c r="E8" s="23">
        <f>COUNTA(A8)</f>
        <v>1</v>
      </c>
      <c r="F8" s="23">
        <f>E8+F7</f>
        <v>5</v>
      </c>
      <c r="G8" s="25" t="str">
        <f>IF(A8="","C",IF(F8&lt;=0.2*$A$1,"A",IF(F8&lt;=0.5*$A$1,"B","C")))</f>
        <v>B</v>
      </c>
      <c r="H8" s="34">
        <f>IFERROR((J8*$J$1)+(L8*$L$1)+(N8*$N$1)+(P8*$P$1)+(R8*$R$1),0)</f>
        <v>5.125</v>
      </c>
      <c r="I8" s="22" t="s">
        <v>68</v>
      </c>
      <c r="J8" s="26">
        <f>IFERROR(VLOOKUP(I8,'Auxiliar (Foco externo)'!$A$2:$D$4,4,0),"")</f>
        <v>10</v>
      </c>
      <c r="K8" s="22" t="s">
        <v>70</v>
      </c>
      <c r="L8" s="26">
        <f>IFERROR(VLOOKUP(K8,'Auxiliar (Foco externo)'!$E$2:$H$4,4,0),"")</f>
        <v>6</v>
      </c>
      <c r="M8" s="22" t="s">
        <v>77</v>
      </c>
      <c r="N8" s="26">
        <f>IFERROR(VLOOKUP(M8,'Auxiliar (Foco externo)'!$I$2:$L$4,4,0),"")</f>
        <v>6</v>
      </c>
      <c r="O8" s="22" t="s">
        <v>80</v>
      </c>
      <c r="P8" s="26">
        <f>IFERROR(VLOOKUP(O8,'Auxiliar (Foco externo)'!$M$2:$P$4,4,0),"")</f>
        <v>1</v>
      </c>
      <c r="Q8" s="22" t="s">
        <v>83</v>
      </c>
      <c r="R8" s="26">
        <f>IFERROR(VLOOKUP(Q8,'Auxiliar (Foco externo)'!$Q$2:$T$4,4,0),"")</f>
        <v>1</v>
      </c>
      <c r="S8" s="28"/>
      <c r="T8" s="27"/>
      <c r="U8" s="28"/>
      <c r="V8" s="27"/>
      <c r="W8" s="28"/>
      <c r="X8" s="27"/>
    </row>
    <row r="9" spans="1:24" ht="45" x14ac:dyDescent="0.25">
      <c r="A9" s="23" t="s">
        <v>114</v>
      </c>
      <c r="B9" s="23" t="s">
        <v>115</v>
      </c>
      <c r="C9" s="22" t="s">
        <v>121</v>
      </c>
      <c r="D9" s="23"/>
      <c r="E9" s="23">
        <f>COUNTA(A9)</f>
        <v>1</v>
      </c>
      <c r="F9" s="23">
        <f>E9+F8</f>
        <v>6</v>
      </c>
      <c r="G9" s="25" t="str">
        <f>IF(A9="","C",IF(F9&lt;=0.2*$A$1,"A",IF(F9&lt;=0.5*$A$1,"B","C")))</f>
        <v>B</v>
      </c>
      <c r="H9" s="34">
        <f>IFERROR((J9*$J$1)+(L9*$L$1)+(N9*$N$1)+(P9*$P$1)+(R9*$R$1),0)</f>
        <v>5.125</v>
      </c>
      <c r="I9" s="22" t="s">
        <v>68</v>
      </c>
      <c r="J9" s="26">
        <f>IFERROR(VLOOKUP(I9,'Auxiliar (Foco externo)'!$A$2:$D$4,4,0),"")</f>
        <v>10</v>
      </c>
      <c r="K9" s="22" t="s">
        <v>70</v>
      </c>
      <c r="L9" s="26">
        <f>IFERROR(VLOOKUP(K9,'Auxiliar (Foco externo)'!$E$2:$H$4,4,0),"")</f>
        <v>6</v>
      </c>
      <c r="M9" s="22" t="s">
        <v>77</v>
      </c>
      <c r="N9" s="26">
        <f>IFERROR(VLOOKUP(M9,'Auxiliar (Foco externo)'!$I$2:$L$4,4,0),"")</f>
        <v>6</v>
      </c>
      <c r="O9" s="22" t="s">
        <v>80</v>
      </c>
      <c r="P9" s="26">
        <f>IFERROR(VLOOKUP(O9,'Auxiliar (Foco externo)'!$M$2:$P$4,4,0),"")</f>
        <v>1</v>
      </c>
      <c r="Q9" s="22" t="s">
        <v>83</v>
      </c>
      <c r="R9" s="26">
        <f>IFERROR(VLOOKUP(Q9,'Auxiliar (Foco externo)'!$Q$2:$T$4,4,0),"")</f>
        <v>1</v>
      </c>
      <c r="S9" s="28"/>
      <c r="T9" s="27"/>
      <c r="U9" s="28"/>
      <c r="V9" s="27"/>
      <c r="W9" s="28"/>
      <c r="X9" s="27"/>
    </row>
    <row r="10" spans="1:24" ht="45" x14ac:dyDescent="0.25">
      <c r="A10" s="23" t="s">
        <v>85</v>
      </c>
      <c r="B10" s="23" t="s">
        <v>88</v>
      </c>
      <c r="C10" s="22" t="s">
        <v>89</v>
      </c>
      <c r="D10" s="23"/>
      <c r="E10" s="23">
        <f>COUNTA(A10)</f>
        <v>1</v>
      </c>
      <c r="F10" s="23">
        <f>E10+F9</f>
        <v>7</v>
      </c>
      <c r="G10" s="25" t="str">
        <f>IF(A10="","C",IF(F10&lt;=0.2*$A$1,"A",IF(F10&lt;=0.5*$A$1,"B","C")))</f>
        <v>B</v>
      </c>
      <c r="H10" s="34">
        <f>IFERROR((J10*$J$1)+(L10*$L$1)+(N10*$N$1)+(P10*$P$1)+(R10*$R$1),0)</f>
        <v>5.125</v>
      </c>
      <c r="I10" s="22" t="s">
        <v>68</v>
      </c>
      <c r="J10" s="26">
        <f>IFERROR(VLOOKUP(I10,'Auxiliar (Foco externo)'!$A$2:$D$4,4,0),"")</f>
        <v>10</v>
      </c>
      <c r="K10" s="22" t="s">
        <v>70</v>
      </c>
      <c r="L10" s="26">
        <f>IFERROR(VLOOKUP(K10,'Auxiliar (Foco externo)'!$E$2:$H$4,4,0),"")</f>
        <v>6</v>
      </c>
      <c r="M10" s="22" t="s">
        <v>77</v>
      </c>
      <c r="N10" s="26">
        <f>IFERROR(VLOOKUP(M10,'Auxiliar (Foco externo)'!$I$2:$L$4,4,0),"")</f>
        <v>6</v>
      </c>
      <c r="O10" s="22" t="s">
        <v>80</v>
      </c>
      <c r="P10" s="26">
        <f>IFERROR(VLOOKUP(O10,'Auxiliar (Foco externo)'!$M$2:$P$4,4,0),"")</f>
        <v>1</v>
      </c>
      <c r="Q10" s="22" t="s">
        <v>83</v>
      </c>
      <c r="R10" s="26">
        <f>IFERROR(VLOOKUP(Q10,'Auxiliar (Foco externo)'!$Q$2:$T$4,4,0),"")</f>
        <v>1</v>
      </c>
      <c r="S10" s="28"/>
      <c r="T10" s="27"/>
      <c r="U10" s="28"/>
      <c r="V10" s="27"/>
      <c r="W10" s="28"/>
      <c r="X10" s="27"/>
    </row>
    <row r="11" spans="1:24" ht="45" x14ac:dyDescent="0.25">
      <c r="A11" s="23" t="s">
        <v>100</v>
      </c>
      <c r="B11" s="23" t="s">
        <v>115</v>
      </c>
      <c r="C11" s="22"/>
      <c r="D11" s="23"/>
      <c r="E11" s="23">
        <f>COUNTA(A11)</f>
        <v>1</v>
      </c>
      <c r="F11" s="23">
        <f>E11+F10</f>
        <v>8</v>
      </c>
      <c r="G11" s="25" t="str">
        <f>IF(A11="","C",IF(F11&lt;=0.2*$A$1,"A",IF(F11&lt;=0.5*$A$1,"B","C")))</f>
        <v>B</v>
      </c>
      <c r="H11" s="34">
        <f>IFERROR((J11*$J$1)+(L11*$L$1)+(N11*$N$1)+(P11*$P$1)+(R11*$R$1),0)</f>
        <v>5.125</v>
      </c>
      <c r="I11" s="22" t="s">
        <v>68</v>
      </c>
      <c r="J11" s="26">
        <f>IFERROR(VLOOKUP(I11,'Auxiliar (Foco externo)'!$A$2:$D$4,4,0),"")</f>
        <v>10</v>
      </c>
      <c r="K11" s="22" t="s">
        <v>70</v>
      </c>
      <c r="L11" s="26">
        <f>IFERROR(VLOOKUP(K11,'Auxiliar (Foco externo)'!$E$2:$H$4,4,0),"")</f>
        <v>6</v>
      </c>
      <c r="M11" s="22" t="s">
        <v>77</v>
      </c>
      <c r="N11" s="26">
        <f>IFERROR(VLOOKUP(M11,'Auxiliar (Foco externo)'!$I$2:$L$4,4,0),"")</f>
        <v>6</v>
      </c>
      <c r="O11" s="22" t="s">
        <v>80</v>
      </c>
      <c r="P11" s="26">
        <f>IFERROR(VLOOKUP(O11,'Auxiliar (Foco externo)'!$M$2:$P$4,4,0),"")</f>
        <v>1</v>
      </c>
      <c r="Q11" s="22" t="s">
        <v>83</v>
      </c>
      <c r="R11" s="26">
        <f>IFERROR(VLOOKUP(Q11,'Auxiliar (Foco externo)'!$Q$2:$T$4,4,0),"")</f>
        <v>1</v>
      </c>
      <c r="S11" s="28"/>
      <c r="T11" s="27"/>
      <c r="U11" s="28"/>
      <c r="V11" s="27"/>
      <c r="W11" s="28"/>
      <c r="X11" s="27"/>
    </row>
    <row r="12" spans="1:24" ht="45" x14ac:dyDescent="0.25">
      <c r="A12" s="23" t="s">
        <v>101</v>
      </c>
      <c r="B12" s="23" t="s">
        <v>116</v>
      </c>
      <c r="C12" s="22"/>
      <c r="D12" s="23"/>
      <c r="E12" s="23">
        <f>COUNTA(A12)</f>
        <v>1</v>
      </c>
      <c r="F12" s="23">
        <f>E12+F11</f>
        <v>9</v>
      </c>
      <c r="G12" s="25" t="str">
        <f>IF(A12="","C",IF(F12&lt;=0.2*$A$1,"A",IF(F12&lt;=0.5*$A$1,"B","C")))</f>
        <v>B</v>
      </c>
      <c r="H12" s="34">
        <f>IFERROR((J12*$J$1)+(L12*$L$1)+(N12*$N$1)+(P12*$P$1)+(R12*$R$1),0)</f>
        <v>5.125</v>
      </c>
      <c r="I12" s="22" t="s">
        <v>68</v>
      </c>
      <c r="J12" s="26">
        <f>IFERROR(VLOOKUP(I12,'Auxiliar (Foco externo)'!$A$2:$D$4,4,0),"")</f>
        <v>10</v>
      </c>
      <c r="K12" s="22" t="s">
        <v>70</v>
      </c>
      <c r="L12" s="26">
        <f>IFERROR(VLOOKUP(K12,'Auxiliar (Foco externo)'!$E$2:$H$4,4,0),"")</f>
        <v>6</v>
      </c>
      <c r="M12" s="22" t="s">
        <v>77</v>
      </c>
      <c r="N12" s="26">
        <f>IFERROR(VLOOKUP(M12,'Auxiliar (Foco externo)'!$I$2:$L$4,4,0),"")</f>
        <v>6</v>
      </c>
      <c r="O12" s="22" t="s">
        <v>80</v>
      </c>
      <c r="P12" s="26">
        <f>IFERROR(VLOOKUP(O12,'Auxiliar (Foco externo)'!$M$2:$P$4,4,0),"")</f>
        <v>1</v>
      </c>
      <c r="Q12" s="22" t="s">
        <v>83</v>
      </c>
      <c r="R12" s="26">
        <f>IFERROR(VLOOKUP(Q12,'Auxiliar (Foco externo)'!$Q$2:$T$4,4,0),"")</f>
        <v>1</v>
      </c>
      <c r="S12" s="28"/>
      <c r="T12" s="27"/>
      <c r="U12" s="28"/>
      <c r="V12" s="27"/>
      <c r="W12" s="28"/>
      <c r="X12" s="27"/>
    </row>
    <row r="13" spans="1:24" ht="45" x14ac:dyDescent="0.25">
      <c r="A13" s="23" t="s">
        <v>102</v>
      </c>
      <c r="B13" s="23" t="s">
        <v>117</v>
      </c>
      <c r="C13" s="22" t="s">
        <v>112</v>
      </c>
      <c r="D13" s="23"/>
      <c r="E13" s="23">
        <f>COUNTA(A13)</f>
        <v>1</v>
      </c>
      <c r="F13" s="23">
        <f>E13+F12</f>
        <v>10</v>
      </c>
      <c r="G13" s="25" t="str">
        <f>IF(A13="","C",IF(F13&lt;=0.2*$A$1,"A",IF(F13&lt;=0.5*$A$1,"B","C")))</f>
        <v>B</v>
      </c>
      <c r="H13" s="34">
        <f>IFERROR((J13*$J$1)+(L13*$L$1)+(N13*$N$1)+(P13*$P$1)+(R13*$R$1),0)</f>
        <v>5.125</v>
      </c>
      <c r="I13" s="22" t="s">
        <v>68</v>
      </c>
      <c r="J13" s="26">
        <f>IFERROR(VLOOKUP(I13,'Auxiliar (Foco externo)'!$A$2:$D$4,4,0),"")</f>
        <v>10</v>
      </c>
      <c r="K13" s="22" t="s">
        <v>70</v>
      </c>
      <c r="L13" s="26">
        <f>IFERROR(VLOOKUP(K13,'Auxiliar (Foco externo)'!$E$2:$H$4,4,0),"")</f>
        <v>6</v>
      </c>
      <c r="M13" s="22" t="s">
        <v>77</v>
      </c>
      <c r="N13" s="26">
        <f>IFERROR(VLOOKUP(M13,'Auxiliar (Foco externo)'!$I$2:$L$4,4,0),"")</f>
        <v>6</v>
      </c>
      <c r="O13" s="22" t="s">
        <v>80</v>
      </c>
      <c r="P13" s="26">
        <f>IFERROR(VLOOKUP(O13,'Auxiliar (Foco externo)'!$M$2:$P$4,4,0),"")</f>
        <v>1</v>
      </c>
      <c r="Q13" s="22" t="s">
        <v>83</v>
      </c>
      <c r="R13" s="26">
        <f>IFERROR(VLOOKUP(Q13,'Auxiliar (Foco externo)'!$Q$2:$T$4,4,0),"")</f>
        <v>1</v>
      </c>
      <c r="S13" s="28"/>
      <c r="T13" s="27"/>
      <c r="U13" s="28"/>
      <c r="V13" s="27"/>
      <c r="W13" s="28"/>
      <c r="X13" s="27"/>
    </row>
    <row r="14" spans="1:24" ht="60" x14ac:dyDescent="0.25">
      <c r="A14" s="23" t="s">
        <v>103</v>
      </c>
      <c r="B14" s="23" t="s">
        <v>118</v>
      </c>
      <c r="C14" s="22" t="s">
        <v>119</v>
      </c>
      <c r="D14" s="23"/>
      <c r="E14" s="23">
        <f>COUNTA(A14)</f>
        <v>1</v>
      </c>
      <c r="F14" s="23">
        <f>E14+F13</f>
        <v>11</v>
      </c>
      <c r="G14" s="25" t="str">
        <f>IF(A14="","C",IF(F14&lt;=0.2*$A$1,"A",IF(F14&lt;=0.5*$A$1,"B","C")))</f>
        <v>C</v>
      </c>
      <c r="H14" s="34">
        <f>IFERROR((J14*$J$1)+(L14*$L$1)+(N14*$N$1)+(P14*$P$1)+(R14*$R$1),0)</f>
        <v>5.125</v>
      </c>
      <c r="I14" s="22" t="s">
        <v>68</v>
      </c>
      <c r="J14" s="26">
        <f>IFERROR(VLOOKUP(I14,'Auxiliar (Foco externo)'!$A$2:$D$4,4,0),"")</f>
        <v>10</v>
      </c>
      <c r="K14" s="22" t="s">
        <v>70</v>
      </c>
      <c r="L14" s="26">
        <f>IFERROR(VLOOKUP(K14,'Auxiliar (Foco externo)'!$E$2:$H$4,4,0),"")</f>
        <v>6</v>
      </c>
      <c r="M14" s="22" t="s">
        <v>77</v>
      </c>
      <c r="N14" s="26">
        <f>IFERROR(VLOOKUP(M14,'Auxiliar (Foco externo)'!$I$2:$L$4,4,0),"")</f>
        <v>6</v>
      </c>
      <c r="O14" s="22" t="s">
        <v>80</v>
      </c>
      <c r="P14" s="26">
        <f>IFERROR(VLOOKUP(O14,'Auxiliar (Foco externo)'!$M$2:$P$4,4,0),"")</f>
        <v>1</v>
      </c>
      <c r="Q14" s="22" t="s">
        <v>83</v>
      </c>
      <c r="R14" s="26">
        <f>IFERROR(VLOOKUP(Q14,'Auxiliar (Foco externo)'!$Q$2:$T$4,4,0),"")</f>
        <v>1</v>
      </c>
      <c r="S14" s="28"/>
      <c r="T14" s="27"/>
      <c r="U14" s="28"/>
      <c r="V14" s="27"/>
      <c r="W14" s="28"/>
      <c r="X14" s="27"/>
    </row>
    <row r="15" spans="1:24" ht="60" x14ac:dyDescent="0.25">
      <c r="A15" s="23" t="s">
        <v>104</v>
      </c>
      <c r="B15" s="23" t="s">
        <v>118</v>
      </c>
      <c r="C15" s="22" t="s">
        <v>119</v>
      </c>
      <c r="D15" s="23"/>
      <c r="E15" s="23">
        <f>COUNTA(A15)</f>
        <v>1</v>
      </c>
      <c r="F15" s="23">
        <f>E15+F14</f>
        <v>12</v>
      </c>
      <c r="G15" s="25" t="str">
        <f>IF(A15="","C",IF(F15&lt;=0.2*$A$1,"A",IF(F15&lt;=0.5*$A$1,"B","C")))</f>
        <v>C</v>
      </c>
      <c r="H15" s="34">
        <f>IFERROR((J15*$J$1)+(L15*$L$1)+(N15*$N$1)+(P15*$P$1)+(R15*$R$1),0)</f>
        <v>5.125</v>
      </c>
      <c r="I15" s="22" t="s">
        <v>68</v>
      </c>
      <c r="J15" s="26">
        <f>IFERROR(VLOOKUP(I15,'Auxiliar (Foco externo)'!$A$2:$D$4,4,0),"")</f>
        <v>10</v>
      </c>
      <c r="K15" s="22" t="s">
        <v>70</v>
      </c>
      <c r="L15" s="26">
        <f>IFERROR(VLOOKUP(K15,'Auxiliar (Foco externo)'!$E$2:$H$4,4,0),"")</f>
        <v>6</v>
      </c>
      <c r="M15" s="22" t="s">
        <v>77</v>
      </c>
      <c r="N15" s="26">
        <f>IFERROR(VLOOKUP(M15,'Auxiliar (Foco externo)'!$I$2:$L$4,4,0),"")</f>
        <v>6</v>
      </c>
      <c r="O15" s="22" t="s">
        <v>80</v>
      </c>
      <c r="P15" s="26">
        <f>IFERROR(VLOOKUP(O15,'Auxiliar (Foco externo)'!$M$2:$P$4,4,0),"")</f>
        <v>1</v>
      </c>
      <c r="Q15" s="22" t="s">
        <v>83</v>
      </c>
      <c r="R15" s="26">
        <f>IFERROR(VLOOKUP(Q15,'Auxiliar (Foco externo)'!$Q$2:$T$4,4,0),"")</f>
        <v>1</v>
      </c>
      <c r="S15" s="28"/>
      <c r="T15" s="27"/>
      <c r="U15" s="28"/>
      <c r="V15" s="27"/>
      <c r="W15" s="28"/>
      <c r="X15" s="27"/>
    </row>
    <row r="16" spans="1:24" ht="60" x14ac:dyDescent="0.25">
      <c r="A16" s="23" t="s">
        <v>105</v>
      </c>
      <c r="B16" s="23" t="s">
        <v>118</v>
      </c>
      <c r="C16" s="22" t="s">
        <v>119</v>
      </c>
      <c r="D16" s="23"/>
      <c r="E16" s="23">
        <f>COUNTA(A16)</f>
        <v>1</v>
      </c>
      <c r="F16" s="23">
        <f>E16+F15</f>
        <v>13</v>
      </c>
      <c r="G16" s="25" t="str">
        <f>IF(A16="","C",IF(F16&lt;=0.2*$A$1,"A",IF(F16&lt;=0.5*$A$1,"B","C")))</f>
        <v>C</v>
      </c>
      <c r="H16" s="34">
        <f>IFERROR((J16*$J$1)+(L16*$L$1)+(N16*$N$1)+(P16*$P$1)+(R16*$R$1),0)</f>
        <v>5.125</v>
      </c>
      <c r="I16" s="22" t="s">
        <v>68</v>
      </c>
      <c r="J16" s="26">
        <f>IFERROR(VLOOKUP(I16,'Auxiliar (Foco externo)'!$A$2:$D$4,4,0),"")</f>
        <v>10</v>
      </c>
      <c r="K16" s="22" t="s">
        <v>70</v>
      </c>
      <c r="L16" s="26">
        <f>IFERROR(VLOOKUP(K16,'Auxiliar (Foco externo)'!$E$2:$H$4,4,0),"")</f>
        <v>6</v>
      </c>
      <c r="M16" s="22" t="s">
        <v>77</v>
      </c>
      <c r="N16" s="26">
        <f>IFERROR(VLOOKUP(M16,'Auxiliar (Foco externo)'!$I$2:$L$4,4,0),"")</f>
        <v>6</v>
      </c>
      <c r="O16" s="22" t="s">
        <v>80</v>
      </c>
      <c r="P16" s="26">
        <f>IFERROR(VLOOKUP(O16,'Auxiliar (Foco externo)'!$M$2:$P$4,4,0),"")</f>
        <v>1</v>
      </c>
      <c r="Q16" s="22" t="s">
        <v>83</v>
      </c>
      <c r="R16" s="26">
        <f>IFERROR(VLOOKUP(Q16,'Auxiliar (Foco externo)'!$Q$2:$T$4,4,0),"")</f>
        <v>1</v>
      </c>
      <c r="S16" s="28"/>
      <c r="T16" s="27"/>
      <c r="U16" s="28"/>
      <c r="V16" s="27"/>
      <c r="W16" s="28"/>
      <c r="X16" s="27"/>
    </row>
    <row r="17" spans="1:24" ht="60" x14ac:dyDescent="0.25">
      <c r="A17" s="23" t="s">
        <v>109</v>
      </c>
      <c r="B17" s="23" t="s">
        <v>118</v>
      </c>
      <c r="C17" s="22" t="s">
        <v>119</v>
      </c>
      <c r="D17" s="23"/>
      <c r="E17" s="23">
        <f>COUNTA(A17)</f>
        <v>1</v>
      </c>
      <c r="F17" s="23">
        <f>E17+F16</f>
        <v>14</v>
      </c>
      <c r="G17" s="25" t="str">
        <f>IF(A17="","C",IF(F17&lt;=0.2*$A$1,"A",IF(F17&lt;=0.5*$A$1,"B","C")))</f>
        <v>C</v>
      </c>
      <c r="H17" s="34">
        <f>IFERROR((J17*$J$1)+(L17*$L$1)+(N17*$N$1)+(P17*$P$1)+(R17*$R$1),0)</f>
        <v>5.125</v>
      </c>
      <c r="I17" s="22" t="s">
        <v>68</v>
      </c>
      <c r="J17" s="26">
        <f>IFERROR(VLOOKUP(I17,'Auxiliar (Foco externo)'!$A$2:$D$4,4,0),"")</f>
        <v>10</v>
      </c>
      <c r="K17" s="22" t="s">
        <v>70</v>
      </c>
      <c r="L17" s="26">
        <f>IFERROR(VLOOKUP(K17,'Auxiliar (Foco externo)'!$E$2:$H$4,4,0),"")</f>
        <v>6</v>
      </c>
      <c r="M17" s="22" t="s">
        <v>77</v>
      </c>
      <c r="N17" s="26">
        <f>IFERROR(VLOOKUP(M17,'Auxiliar (Foco externo)'!$I$2:$L$4,4,0),"")</f>
        <v>6</v>
      </c>
      <c r="O17" s="22" t="s">
        <v>80</v>
      </c>
      <c r="P17" s="26">
        <f>IFERROR(VLOOKUP(O17,'Auxiliar (Foco externo)'!$M$2:$P$4,4,0),"")</f>
        <v>1</v>
      </c>
      <c r="Q17" s="22" t="s">
        <v>83</v>
      </c>
      <c r="R17" s="26">
        <f>IFERROR(VLOOKUP(Q17,'Auxiliar (Foco externo)'!$Q$2:$T$4,4,0),"")</f>
        <v>1</v>
      </c>
    </row>
    <row r="18" spans="1:24" s="32" customFormat="1" ht="45" x14ac:dyDescent="0.25">
      <c r="A18" s="23" t="s">
        <v>111</v>
      </c>
      <c r="B18" s="23" t="s">
        <v>115</v>
      </c>
      <c r="C18" s="22" t="s">
        <v>94</v>
      </c>
      <c r="D18" s="23"/>
      <c r="E18" s="23">
        <f>COUNTA(A18)</f>
        <v>1</v>
      </c>
      <c r="F18" s="23">
        <f>E18+F17</f>
        <v>15</v>
      </c>
      <c r="G18" s="25" t="str">
        <f>IF(A18="","C",IF(F18&lt;=0.2*$A$1,"A",IF(F18&lt;=0.5*$A$1,"B","C")))</f>
        <v>C</v>
      </c>
      <c r="H18" s="34">
        <f>IFERROR((J18*$J$1)+(L18*$L$1)+(N18*$N$1)+(P18*$P$1)+(R18*$R$1),0)</f>
        <v>5.125</v>
      </c>
      <c r="I18" s="22" t="s">
        <v>68</v>
      </c>
      <c r="J18" s="26">
        <f>IFERROR(VLOOKUP(I18,'Auxiliar (Foco externo)'!$A$2:$D$4,4,0),"")</f>
        <v>10</v>
      </c>
      <c r="K18" s="22" t="s">
        <v>70</v>
      </c>
      <c r="L18" s="26">
        <f>IFERROR(VLOOKUP(K18,'Auxiliar (Foco externo)'!$E$2:$H$4,4,0),"")</f>
        <v>6</v>
      </c>
      <c r="M18" s="22" t="s">
        <v>77</v>
      </c>
      <c r="N18" s="26">
        <f>IFERROR(VLOOKUP(M18,'Auxiliar (Foco externo)'!$I$2:$L$4,4,0),"")</f>
        <v>6</v>
      </c>
      <c r="O18" s="22" t="s">
        <v>80</v>
      </c>
      <c r="P18" s="26">
        <f>IFERROR(VLOOKUP(O18,'Auxiliar (Foco externo)'!$M$2:$P$4,4,0),"")</f>
        <v>1</v>
      </c>
      <c r="Q18" s="22" t="s">
        <v>83</v>
      </c>
      <c r="R18" s="26">
        <f>IFERROR(VLOOKUP(Q18,'Auxiliar (Foco externo)'!$Q$2:$T$4,4,0),"")</f>
        <v>1</v>
      </c>
      <c r="S18" s="31"/>
      <c r="T18" s="30"/>
      <c r="U18" s="31"/>
      <c r="V18" s="30"/>
      <c r="W18" s="31"/>
      <c r="X18" s="30"/>
    </row>
    <row r="19" spans="1:24" ht="45" x14ac:dyDescent="0.25">
      <c r="A19" s="23" t="s">
        <v>113</v>
      </c>
      <c r="B19" s="23" t="s">
        <v>122</v>
      </c>
      <c r="C19" s="22"/>
      <c r="D19" s="23"/>
      <c r="E19" s="23">
        <f>COUNTA(A19)</f>
        <v>1</v>
      </c>
      <c r="F19" s="23">
        <f>E19+F18</f>
        <v>16</v>
      </c>
      <c r="G19" s="25" t="str">
        <f>IF(A19="","C",IF(F19&lt;=0.2*$A$1,"A",IF(F19&lt;=0.5*$A$1,"B","C")))</f>
        <v>C</v>
      </c>
      <c r="H19" s="34">
        <f>IFERROR((J19*$J$1)+(L19*$L$1)+(N19*$N$1)+(P19*$P$1)+(R19*$R$1),0)</f>
        <v>5.125</v>
      </c>
      <c r="I19" s="22" t="s">
        <v>68</v>
      </c>
      <c r="J19" s="26">
        <f>IFERROR(VLOOKUP(I19,'Auxiliar (Foco externo)'!$A$2:$D$4,4,0),"")</f>
        <v>10</v>
      </c>
      <c r="K19" s="22" t="s">
        <v>70</v>
      </c>
      <c r="L19" s="26">
        <f>IFERROR(VLOOKUP(K19,'Auxiliar (Foco externo)'!$E$2:$H$4,4,0),"")</f>
        <v>6</v>
      </c>
      <c r="M19" s="22" t="s">
        <v>77</v>
      </c>
      <c r="N19" s="26">
        <f>IFERROR(VLOOKUP(M19,'Auxiliar (Foco externo)'!$I$2:$L$4,4,0),"")</f>
        <v>6</v>
      </c>
      <c r="O19" s="22" t="s">
        <v>80</v>
      </c>
      <c r="P19" s="26">
        <f>IFERROR(VLOOKUP(O19,'Auxiliar (Foco externo)'!$M$2:$P$4,4,0),"")</f>
        <v>1</v>
      </c>
      <c r="Q19" s="22" t="s">
        <v>83</v>
      </c>
      <c r="R19" s="26">
        <f>IFERROR(VLOOKUP(Q19,'Auxiliar (Foco externo)'!$Q$2:$T$4,4,0),"")</f>
        <v>1</v>
      </c>
      <c r="S19" s="28"/>
      <c r="T19" s="27"/>
      <c r="U19" s="28"/>
      <c r="V19" s="27"/>
      <c r="W19" s="28"/>
      <c r="X19" s="27"/>
    </row>
    <row r="20" spans="1:24" ht="45" x14ac:dyDescent="0.25">
      <c r="A20" s="23" t="s">
        <v>92</v>
      </c>
      <c r="B20" s="23" t="s">
        <v>93</v>
      </c>
      <c r="C20" s="22" t="s">
        <v>94</v>
      </c>
      <c r="D20" s="23"/>
      <c r="E20" s="23">
        <f>COUNTA(A20)</f>
        <v>1</v>
      </c>
      <c r="F20" s="23">
        <f>E20+F19</f>
        <v>17</v>
      </c>
      <c r="G20" s="25" t="str">
        <f>IF(A20="","C",IF(F20&lt;=0.2*$A$1,"A",IF(F20&lt;=0.5*$A$1,"B","C")))</f>
        <v>C</v>
      </c>
      <c r="H20" s="34">
        <f>IFERROR((J20*$J$1)+(L20*$L$1)+(N20*$N$1)+(P20*$P$1)+(R20*$R$1),0)</f>
        <v>4.125</v>
      </c>
      <c r="I20" s="22" t="s">
        <v>67</v>
      </c>
      <c r="J20" s="26">
        <f>IFERROR(VLOOKUP(I20,'Auxiliar (Foco externo)'!$A$2:$D$4,4,0),"")</f>
        <v>6</v>
      </c>
      <c r="K20" s="22" t="s">
        <v>70</v>
      </c>
      <c r="L20" s="26">
        <f>IFERROR(VLOOKUP(K20,'Auxiliar (Foco externo)'!$E$2:$H$4,4,0),"")</f>
        <v>6</v>
      </c>
      <c r="M20" s="22" t="s">
        <v>77</v>
      </c>
      <c r="N20" s="26">
        <f>IFERROR(VLOOKUP(M20,'Auxiliar (Foco externo)'!$I$2:$L$4,4,0),"")</f>
        <v>6</v>
      </c>
      <c r="O20" s="22" t="s">
        <v>80</v>
      </c>
      <c r="P20" s="26">
        <f>IFERROR(VLOOKUP(O20,'Auxiliar (Foco externo)'!$M$2:$P$4,4,0),"")</f>
        <v>1</v>
      </c>
      <c r="Q20" s="22" t="s">
        <v>83</v>
      </c>
      <c r="R20" s="26">
        <f>IFERROR(VLOOKUP(Q20,'Auxiliar (Foco externo)'!$Q$2:$T$4,4,0),"")</f>
        <v>1</v>
      </c>
      <c r="S20" s="28"/>
      <c r="T20" s="27"/>
      <c r="U20" s="28"/>
      <c r="V20" s="27"/>
      <c r="W20" s="28"/>
      <c r="X20" s="27"/>
    </row>
    <row r="21" spans="1:24" ht="60" x14ac:dyDescent="0.25">
      <c r="A21" s="23" t="s">
        <v>108</v>
      </c>
      <c r="B21" s="23" t="s">
        <v>118</v>
      </c>
      <c r="C21" s="22" t="s">
        <v>119</v>
      </c>
      <c r="D21" s="23"/>
      <c r="E21" s="23">
        <f>COUNTA(A21)</f>
        <v>1</v>
      </c>
      <c r="F21" s="23">
        <f>E21+F20</f>
        <v>18</v>
      </c>
      <c r="G21" s="25" t="str">
        <f>IF(A21="","C",IF(F21&lt;=0.2*$A$1,"A",IF(F21&lt;=0.5*$A$1,"B","C")))</f>
        <v>C</v>
      </c>
      <c r="H21" s="34">
        <f>IFERROR((J21*$J$1)+(L21*$L$1)+(N21*$N$1)+(P21*$P$1)+(R21*$R$1),0)</f>
        <v>4.125</v>
      </c>
      <c r="I21" s="22" t="s">
        <v>67</v>
      </c>
      <c r="J21" s="26">
        <f>IFERROR(VLOOKUP(I21,'Auxiliar (Foco externo)'!$A$2:$D$4,4,0),"")</f>
        <v>6</v>
      </c>
      <c r="K21" s="22" t="s">
        <v>70</v>
      </c>
      <c r="L21" s="26">
        <f>IFERROR(VLOOKUP(K21,'Auxiliar (Foco externo)'!$E$2:$H$4,4,0),"")</f>
        <v>6</v>
      </c>
      <c r="M21" s="22" t="s">
        <v>77</v>
      </c>
      <c r="N21" s="26">
        <f>IFERROR(VLOOKUP(M21,'Auxiliar (Foco externo)'!$I$2:$L$4,4,0),"")</f>
        <v>6</v>
      </c>
      <c r="O21" s="22" t="s">
        <v>80</v>
      </c>
      <c r="P21" s="26">
        <f>IFERROR(VLOOKUP(O21,'Auxiliar (Foco externo)'!$M$2:$P$4,4,0),"")</f>
        <v>1</v>
      </c>
      <c r="Q21" s="22" t="s">
        <v>83</v>
      </c>
      <c r="R21" s="26">
        <f>IFERROR(VLOOKUP(Q21,'Auxiliar (Foco externo)'!$Q$2:$T$4,4,0),"")</f>
        <v>1</v>
      </c>
      <c r="S21" s="28"/>
      <c r="T21" s="27"/>
      <c r="U21" s="28"/>
      <c r="V21" s="27"/>
      <c r="W21" s="28"/>
      <c r="X21" s="27"/>
    </row>
    <row r="22" spans="1:24" ht="45" x14ac:dyDescent="0.25">
      <c r="A22" s="23" t="s">
        <v>86</v>
      </c>
      <c r="B22" s="23" t="s">
        <v>90</v>
      </c>
      <c r="C22" s="22" t="s">
        <v>91</v>
      </c>
      <c r="D22" s="23"/>
      <c r="E22" s="23">
        <f>COUNTA(A22)</f>
        <v>1</v>
      </c>
      <c r="F22" s="23">
        <f>E22+F21</f>
        <v>19</v>
      </c>
      <c r="G22" s="25" t="str">
        <f>IF(A22="","C",IF(F22&lt;=0.2*$A$1,"A",IF(F22&lt;=0.5*$A$1,"B","C")))</f>
        <v>C</v>
      </c>
      <c r="H22" s="34">
        <f>IFERROR((J22*$J$1)+(L22*$L$1)+(N22*$N$1)+(P22*$P$1)+(R22*$R$1),0)</f>
        <v>4.125</v>
      </c>
      <c r="I22" s="22" t="s">
        <v>67</v>
      </c>
      <c r="J22" s="26">
        <f>IFERROR(VLOOKUP(I22,'Auxiliar (Foco externo)'!$A$2:$D$4,4,0),"")</f>
        <v>6</v>
      </c>
      <c r="K22" s="22" t="s">
        <v>70</v>
      </c>
      <c r="L22" s="26">
        <f>IFERROR(VLOOKUP(K22,'Auxiliar (Foco externo)'!$E$2:$H$4,4,0),"")</f>
        <v>6</v>
      </c>
      <c r="M22" s="22" t="s">
        <v>77</v>
      </c>
      <c r="N22" s="26">
        <f>IFERROR(VLOOKUP(M22,'Auxiliar (Foco externo)'!$I$2:$L$4,4,0),"")</f>
        <v>6</v>
      </c>
      <c r="O22" s="22" t="s">
        <v>80</v>
      </c>
      <c r="P22" s="26">
        <f>IFERROR(VLOOKUP(O22,'Auxiliar (Foco externo)'!$M$2:$P$4,4,0),"")</f>
        <v>1</v>
      </c>
      <c r="Q22" s="22" t="s">
        <v>83</v>
      </c>
      <c r="R22" s="26">
        <f>IFERROR(VLOOKUP(Q22,'Auxiliar (Foco externo)'!$Q$2:$T$4,4,0),"")</f>
        <v>1</v>
      </c>
      <c r="S22" s="28"/>
      <c r="T22" s="27"/>
      <c r="U22" s="28"/>
      <c r="V22" s="27"/>
      <c r="W22" s="28"/>
      <c r="X22" s="27"/>
    </row>
    <row r="23" spans="1:24" ht="60" x14ac:dyDescent="0.25">
      <c r="A23" s="23" t="s">
        <v>106</v>
      </c>
      <c r="B23" s="23" t="s">
        <v>118</v>
      </c>
      <c r="C23" s="22" t="s">
        <v>119</v>
      </c>
      <c r="D23" s="23"/>
      <c r="E23" s="23">
        <f>COUNTA(A23)</f>
        <v>1</v>
      </c>
      <c r="F23" s="23">
        <f>E23+F22</f>
        <v>20</v>
      </c>
      <c r="G23" s="25" t="str">
        <f>IF(A23="","C",IF(F23&lt;=0.2*$A$1,"A",IF(F23&lt;=0.5*$A$1,"B","C")))</f>
        <v>C</v>
      </c>
      <c r="H23" s="34">
        <f>IFERROR((J23*$J$1)+(L23*$L$1)+(N23*$N$1)+(P23*$P$1)+(R23*$R$1),0)</f>
        <v>2.875</v>
      </c>
      <c r="I23" s="22" t="s">
        <v>71</v>
      </c>
      <c r="J23" s="26">
        <f>IFERROR(VLOOKUP(I23,'Auxiliar (Foco externo)'!$A$2:$D$4,4,0),"")</f>
        <v>1</v>
      </c>
      <c r="K23" s="22" t="s">
        <v>70</v>
      </c>
      <c r="L23" s="26">
        <f>IFERROR(VLOOKUP(K23,'Auxiliar (Foco externo)'!$E$2:$H$4,4,0),"")</f>
        <v>6</v>
      </c>
      <c r="M23" s="22" t="s">
        <v>77</v>
      </c>
      <c r="N23" s="26">
        <f>IFERROR(VLOOKUP(M23,'Auxiliar (Foco externo)'!$I$2:$L$4,4,0),"")</f>
        <v>6</v>
      </c>
      <c r="O23" s="22" t="s">
        <v>80</v>
      </c>
      <c r="P23" s="26">
        <f>IFERROR(VLOOKUP(O23,'Auxiliar (Foco externo)'!$M$2:$P$4,4,0),"")</f>
        <v>1</v>
      </c>
      <c r="Q23" s="22" t="s">
        <v>83</v>
      </c>
      <c r="R23" s="26">
        <f>IFERROR(VLOOKUP(Q23,'Auxiliar (Foco externo)'!$Q$2:$T$4,4,0),"")</f>
        <v>1</v>
      </c>
    </row>
    <row r="24" spans="1:24" x14ac:dyDescent="0.25">
      <c r="A24" s="23"/>
      <c r="B24" s="23"/>
      <c r="C24" s="22"/>
      <c r="D24" s="23"/>
      <c r="E24" s="23">
        <f>COUNTA(A24)</f>
        <v>0</v>
      </c>
      <c r="F24" s="23">
        <f>E24+F23</f>
        <v>20</v>
      </c>
      <c r="G24" s="25" t="str">
        <f>IF(A24="","C",IF(F24&lt;=0.2*$A$1,"A",IF(F24&lt;=0.5*$A$1,"B","C")))</f>
        <v>C</v>
      </c>
      <c r="H24" s="34">
        <f>IFERROR((J24*$J$1)+(L24*$L$1)+(N24*$N$1)+(P24*$P$1)+(R24*$R$1),0)</f>
        <v>0</v>
      </c>
      <c r="I24" s="22"/>
      <c r="J24" s="26" t="str">
        <f>IFERROR(VLOOKUP(I24,'Auxiliar (Foco externo)'!$A$2:$D$4,4,0),"")</f>
        <v/>
      </c>
      <c r="K24" s="22"/>
      <c r="L24" s="26" t="str">
        <f>IFERROR(VLOOKUP(K24,'Auxiliar (Foco externo)'!$E$2:$H$4,4,0),"")</f>
        <v/>
      </c>
      <c r="M24" s="22"/>
      <c r="N24" s="26" t="str">
        <f>IFERROR(VLOOKUP(M24,'Auxiliar (Foco externo)'!$I$2:$L$4,4,0),"")</f>
        <v/>
      </c>
      <c r="O24" s="22"/>
      <c r="P24" s="26" t="str">
        <f>IFERROR(VLOOKUP(O24,'Auxiliar (Foco externo)'!$M$2:$P$4,4,0),"")</f>
        <v/>
      </c>
      <c r="Q24" s="22"/>
      <c r="R24" s="26" t="str">
        <f>IFERROR(VLOOKUP(Q24,'Auxiliar (Foco externo)'!$Q$2:$T$4,4,0),"")</f>
        <v/>
      </c>
    </row>
    <row r="25" spans="1:24" x14ac:dyDescent="0.25">
      <c r="A25" s="23"/>
      <c r="B25" s="23"/>
      <c r="C25" s="22"/>
      <c r="D25" s="23"/>
      <c r="E25" s="23">
        <f>COUNTA(A25)</f>
        <v>0</v>
      </c>
      <c r="F25" s="23">
        <f>E25+F24</f>
        <v>20</v>
      </c>
      <c r="G25" s="25" t="str">
        <f>IF(A25="","C",IF(F25&lt;=0.2*$A$1,"A",IF(F25&lt;=0.5*$A$1,"B","C")))</f>
        <v>C</v>
      </c>
      <c r="H25" s="34">
        <f>IFERROR((J25*$J$1)+(L25*$L$1)+(N25*$N$1)+(P25*$P$1)+(R25*$R$1),0)</f>
        <v>0</v>
      </c>
      <c r="I25" s="22"/>
      <c r="J25" s="26" t="str">
        <f>IFERROR(VLOOKUP(I25,'Auxiliar (Foco externo)'!$A$2:$D$4,4,0),"")</f>
        <v/>
      </c>
      <c r="K25" s="22"/>
      <c r="L25" s="26" t="str">
        <f>IFERROR(VLOOKUP(K25,'Auxiliar (Foco externo)'!$E$2:$H$4,4,0),"")</f>
        <v/>
      </c>
      <c r="M25" s="22"/>
      <c r="N25" s="26" t="str">
        <f>IFERROR(VLOOKUP(M25,'Auxiliar (Foco externo)'!$I$2:$L$4,4,0),"")</f>
        <v/>
      </c>
      <c r="O25" s="22"/>
      <c r="P25" s="26" t="str">
        <f>IFERROR(VLOOKUP(O25,'Auxiliar (Foco externo)'!$M$2:$P$4,4,0),"")</f>
        <v/>
      </c>
      <c r="Q25" s="22"/>
      <c r="R25" s="26" t="str">
        <f>IFERROR(VLOOKUP(Q25,'Auxiliar (Foco externo)'!$Q$2:$T$4,4,0),"")</f>
        <v/>
      </c>
    </row>
    <row r="26" spans="1:24" x14ac:dyDescent="0.25">
      <c r="A26" s="23"/>
      <c r="B26" s="23"/>
      <c r="C26" s="22"/>
      <c r="D26" s="23"/>
      <c r="E26" s="23">
        <f>COUNTA(A26)</f>
        <v>0</v>
      </c>
      <c r="F26" s="23">
        <f>E26+F25</f>
        <v>20</v>
      </c>
      <c r="G26" s="25" t="str">
        <f>IF(A26="","C",IF(F26&lt;=0.2*$A$1,"A",IF(F26&lt;=0.5*$A$1,"B","C")))</f>
        <v>C</v>
      </c>
      <c r="H26" s="34">
        <f>IFERROR((J26*$J$1)+(L26*$L$1)+(N26*$N$1)+(P26*$P$1)+(R26*$R$1),0)</f>
        <v>0</v>
      </c>
      <c r="I26" s="22"/>
      <c r="J26" s="26" t="str">
        <f>IFERROR(VLOOKUP(I26,'Auxiliar (Foco externo)'!$A$2:$D$4,4,0),"")</f>
        <v/>
      </c>
      <c r="K26" s="22"/>
      <c r="L26" s="26" t="str">
        <f>IFERROR(VLOOKUP(K26,'Auxiliar (Foco externo)'!$E$2:$H$4,4,0),"")</f>
        <v/>
      </c>
      <c r="M26" s="22"/>
      <c r="N26" s="26" t="str">
        <f>IFERROR(VLOOKUP(M26,'Auxiliar (Foco externo)'!$I$2:$L$4,4,0),"")</f>
        <v/>
      </c>
      <c r="O26" s="22"/>
      <c r="P26" s="26" t="str">
        <f>IFERROR(VLOOKUP(O26,'Auxiliar (Foco externo)'!$M$2:$P$4,4,0),"")</f>
        <v/>
      </c>
      <c r="Q26" s="22"/>
      <c r="R26" s="26" t="str">
        <f>IFERROR(VLOOKUP(Q26,'Auxiliar (Foco externo)'!$Q$2:$T$4,4,0),"")</f>
        <v/>
      </c>
    </row>
    <row r="27" spans="1:24" x14ac:dyDescent="0.25">
      <c r="A27" s="23"/>
      <c r="B27" s="23"/>
      <c r="C27" s="22"/>
      <c r="D27" s="23"/>
      <c r="E27" s="23">
        <f>COUNTA(A27)</f>
        <v>0</v>
      </c>
      <c r="F27" s="23">
        <f>E27+F26</f>
        <v>20</v>
      </c>
      <c r="G27" s="25" t="str">
        <f>IF(A27="","C",IF(F27&lt;=0.2*$A$1,"A",IF(F27&lt;=0.5*$A$1,"B","C")))</f>
        <v>C</v>
      </c>
      <c r="H27" s="34">
        <f>IFERROR((J27*$J$1)+(L27*$L$1)+(N27*$N$1)+(P27*$P$1)+(R27*$R$1),0)</f>
        <v>0</v>
      </c>
      <c r="I27" s="22"/>
      <c r="J27" s="26" t="str">
        <f>IFERROR(VLOOKUP(I27,'Auxiliar (Foco externo)'!$A$2:$D$4,4,0),"")</f>
        <v/>
      </c>
      <c r="K27" s="22"/>
      <c r="L27" s="26" t="str">
        <f>IFERROR(VLOOKUP(K27,'Auxiliar (Foco externo)'!$E$2:$H$4,4,0),"")</f>
        <v/>
      </c>
      <c r="M27" s="22"/>
      <c r="N27" s="26" t="str">
        <f>IFERROR(VLOOKUP(M27,'Auxiliar (Foco externo)'!$I$2:$L$4,4,0),"")</f>
        <v/>
      </c>
      <c r="O27" s="22"/>
      <c r="P27" s="26" t="str">
        <f>IFERROR(VLOOKUP(O27,'Auxiliar (Foco externo)'!$M$2:$P$4,4,0),"")</f>
        <v/>
      </c>
      <c r="Q27" s="22"/>
      <c r="R27" s="26" t="str">
        <f>IFERROR(VLOOKUP(Q27,'Auxiliar (Foco externo)'!$Q$2:$T$4,4,0),"")</f>
        <v/>
      </c>
    </row>
    <row r="28" spans="1:24" x14ac:dyDescent="0.25">
      <c r="A28" s="23"/>
      <c r="B28" s="23"/>
      <c r="C28" s="22"/>
      <c r="D28" s="23"/>
      <c r="E28" s="23">
        <f>COUNTA(A28)</f>
        <v>0</v>
      </c>
      <c r="F28" s="23">
        <f>E28+F27</f>
        <v>20</v>
      </c>
      <c r="G28" s="25" t="str">
        <f>IF(A28="","C",IF(F28&lt;=0.2*$A$1,"A",IF(F28&lt;=0.5*$A$1,"B","C")))</f>
        <v>C</v>
      </c>
      <c r="H28" s="34">
        <f>IFERROR((J28*$J$1)+(L28*$L$1)+(N28*$N$1)+(P28*$P$1)+(R28*$R$1),0)</f>
        <v>0</v>
      </c>
      <c r="I28" s="22"/>
      <c r="J28" s="26" t="str">
        <f>IFERROR(VLOOKUP(I28,'Auxiliar (Foco externo)'!$A$2:$D$4,4,0),"")</f>
        <v/>
      </c>
      <c r="K28" s="22"/>
      <c r="L28" s="26" t="str">
        <f>IFERROR(VLOOKUP(K28,'Auxiliar (Foco externo)'!$E$2:$H$4,4,0),"")</f>
        <v/>
      </c>
      <c r="M28" s="22"/>
      <c r="N28" s="26" t="str">
        <f>IFERROR(VLOOKUP(M28,'Auxiliar (Foco externo)'!$I$2:$L$4,4,0),"")</f>
        <v/>
      </c>
      <c r="O28" s="22"/>
      <c r="P28" s="26" t="str">
        <f>IFERROR(VLOOKUP(O28,'Auxiliar (Foco externo)'!$M$2:$P$4,4,0),"")</f>
        <v/>
      </c>
      <c r="Q28" s="22"/>
      <c r="R28" s="26" t="str">
        <f>IFERROR(VLOOKUP(Q28,'Auxiliar (Foco externo)'!$Q$2:$T$4,4,0),"")</f>
        <v/>
      </c>
    </row>
    <row r="29" spans="1:24" x14ac:dyDescent="0.25">
      <c r="A29" s="23"/>
      <c r="B29" s="23"/>
      <c r="C29" s="22"/>
      <c r="D29" s="23"/>
      <c r="E29" s="23">
        <f>COUNTA(A29)</f>
        <v>0</v>
      </c>
      <c r="F29" s="23">
        <f>E29+F28</f>
        <v>20</v>
      </c>
      <c r="G29" s="25" t="str">
        <f>IF(A29="","C",IF(F29&lt;=0.2*$A$1,"A",IF(F29&lt;=0.5*$A$1,"B","C")))</f>
        <v>C</v>
      </c>
      <c r="H29" s="34">
        <f>IFERROR((J29*$J$1)+(L29*$L$1)+(N29*$N$1)+(P29*$P$1)+(R29*$R$1),0)</f>
        <v>0</v>
      </c>
      <c r="I29" s="22"/>
      <c r="J29" s="26" t="str">
        <f>IFERROR(VLOOKUP(I29,'Auxiliar (Foco externo)'!$A$2:$D$4,4,0),"")</f>
        <v/>
      </c>
      <c r="K29" s="22"/>
      <c r="L29" s="26" t="str">
        <f>IFERROR(VLOOKUP(K29,'Auxiliar (Foco externo)'!$E$2:$H$4,4,0),"")</f>
        <v/>
      </c>
      <c r="M29" s="22"/>
      <c r="N29" s="26" t="str">
        <f>IFERROR(VLOOKUP(M29,'Auxiliar (Foco externo)'!$I$2:$L$4,4,0),"")</f>
        <v/>
      </c>
      <c r="O29" s="22"/>
      <c r="P29" s="26" t="str">
        <f>IFERROR(VLOOKUP(O29,'Auxiliar (Foco externo)'!$M$2:$P$4,4,0),"")</f>
        <v/>
      </c>
      <c r="Q29" s="22"/>
      <c r="R29" s="26" t="str">
        <f>IFERROR(VLOOKUP(Q29,'Auxiliar (Foco externo)'!$Q$2:$T$4,4,0),"")</f>
        <v/>
      </c>
    </row>
    <row r="30" spans="1:24" x14ac:dyDescent="0.25">
      <c r="A30" s="23"/>
      <c r="B30" s="23"/>
      <c r="C30" s="22"/>
      <c r="D30" s="23"/>
      <c r="E30" s="23">
        <f>COUNTA(A30)</f>
        <v>0</v>
      </c>
      <c r="F30" s="23">
        <f>E30+F29</f>
        <v>20</v>
      </c>
      <c r="G30" s="25" t="str">
        <f>IF(A30="","C",IF(F30&lt;=0.2*$A$1,"A",IF(F30&lt;=0.5*$A$1,"B","C")))</f>
        <v>C</v>
      </c>
      <c r="H30" s="34">
        <f>IFERROR((J30*$J$1)+(L30*$L$1)+(N30*$N$1)+(P30*$P$1)+(R30*$R$1),0)</f>
        <v>0</v>
      </c>
      <c r="I30" s="22"/>
      <c r="J30" s="26" t="str">
        <f>IFERROR(VLOOKUP(I30,'Auxiliar (Foco externo)'!$A$2:$D$4,4,0),"")</f>
        <v/>
      </c>
      <c r="K30" s="22"/>
      <c r="L30" s="26" t="str">
        <f>IFERROR(VLOOKUP(K30,'Auxiliar (Foco externo)'!$E$2:$H$4,4,0),"")</f>
        <v/>
      </c>
      <c r="M30" s="22"/>
      <c r="N30" s="26" t="str">
        <f>IFERROR(VLOOKUP(M30,'Auxiliar (Foco externo)'!$I$2:$L$4,4,0),"")</f>
        <v/>
      </c>
      <c r="O30" s="22"/>
      <c r="P30" s="26" t="str">
        <f>IFERROR(VLOOKUP(O30,'Auxiliar (Foco externo)'!$M$2:$P$4,4,0),"")</f>
        <v/>
      </c>
      <c r="Q30" s="22"/>
      <c r="R30" s="26" t="str">
        <f>IFERROR(VLOOKUP(Q30,'Auxiliar (Foco externo)'!$Q$2:$T$4,4,0),"")</f>
        <v/>
      </c>
    </row>
    <row r="31" spans="1:24" x14ac:dyDescent="0.25">
      <c r="A31" s="23"/>
      <c r="B31" s="23"/>
      <c r="C31" s="22"/>
      <c r="D31" s="23"/>
      <c r="E31" s="23">
        <f>COUNTA(A31)</f>
        <v>0</v>
      </c>
      <c r="F31" s="23">
        <f>E31+F30</f>
        <v>20</v>
      </c>
      <c r="G31" s="25" t="str">
        <f>IF(A31="","C",IF(F31&lt;=0.2*$A$1,"A",IF(F31&lt;=0.5*$A$1,"B","C")))</f>
        <v>C</v>
      </c>
      <c r="H31" s="34">
        <f>IFERROR((J31*$J$1)+(L31*$L$1)+(N31*$N$1)+(P31*$P$1)+(R31*$R$1),0)</f>
        <v>0</v>
      </c>
      <c r="I31" s="22"/>
      <c r="J31" s="26" t="str">
        <f>IFERROR(VLOOKUP(I31,'Auxiliar (Foco externo)'!$A$2:$D$4,4,0),"")</f>
        <v/>
      </c>
      <c r="K31" s="22"/>
      <c r="L31" s="26" t="str">
        <f>IFERROR(VLOOKUP(K31,'Auxiliar (Foco externo)'!$E$2:$H$4,4,0),"")</f>
        <v/>
      </c>
      <c r="M31" s="22"/>
      <c r="N31" s="26" t="str">
        <f>IFERROR(VLOOKUP(M31,'Auxiliar (Foco externo)'!$I$2:$L$4,4,0),"")</f>
        <v/>
      </c>
      <c r="O31" s="22"/>
      <c r="P31" s="26" t="str">
        <f>IFERROR(VLOOKUP(O31,'Auxiliar (Foco externo)'!$M$2:$P$4,4,0),"")</f>
        <v/>
      </c>
      <c r="Q31" s="22"/>
      <c r="R31" s="26" t="str">
        <f>IFERROR(VLOOKUP(Q31,'Auxiliar (Foco externo)'!$Q$2:$T$4,4,0),"")</f>
        <v/>
      </c>
    </row>
    <row r="32" spans="1:24" x14ac:dyDescent="0.25">
      <c r="A32" s="23"/>
      <c r="B32" s="23"/>
      <c r="C32" s="22"/>
      <c r="D32" s="23"/>
      <c r="E32" s="23">
        <f>COUNTA(A32)</f>
        <v>0</v>
      </c>
      <c r="F32" s="23">
        <f>E32+F31</f>
        <v>20</v>
      </c>
      <c r="G32" s="25" t="str">
        <f>IF(A32="","C",IF(F32&lt;=0.2*$A$1,"A",IF(F32&lt;=0.5*$A$1,"B","C")))</f>
        <v>C</v>
      </c>
      <c r="H32" s="34">
        <f>IFERROR((J32*$J$1)+(L32*$L$1)+(N32*$N$1)+(P32*$P$1)+(R32*$R$1),0)</f>
        <v>0</v>
      </c>
      <c r="I32" s="22"/>
      <c r="J32" s="26" t="str">
        <f>IFERROR(VLOOKUP(I32,'Auxiliar (Foco externo)'!$A$2:$D$4,4,0),"")</f>
        <v/>
      </c>
      <c r="K32" s="22"/>
      <c r="L32" s="26" t="str">
        <f>IFERROR(VLOOKUP(K32,'Auxiliar (Foco externo)'!$E$2:$H$4,4,0),"")</f>
        <v/>
      </c>
      <c r="M32" s="22"/>
      <c r="N32" s="26" t="str">
        <f>IFERROR(VLOOKUP(M32,'Auxiliar (Foco externo)'!$I$2:$L$4,4,0),"")</f>
        <v/>
      </c>
      <c r="O32" s="22"/>
      <c r="P32" s="26" t="str">
        <f>IFERROR(VLOOKUP(O32,'Auxiliar (Foco externo)'!$M$2:$P$4,4,0),"")</f>
        <v/>
      </c>
      <c r="Q32" s="22"/>
      <c r="R32" s="26" t="str">
        <f>IFERROR(VLOOKUP(Q32,'Auxiliar (Foco externo)'!$Q$2:$T$4,4,0),"")</f>
        <v/>
      </c>
    </row>
    <row r="33" spans="1:18" x14ac:dyDescent="0.25">
      <c r="A33" s="23"/>
      <c r="B33" s="23"/>
      <c r="C33" s="22"/>
      <c r="D33" s="23"/>
      <c r="E33" s="23">
        <f>COUNTA(A33)</f>
        <v>0</v>
      </c>
      <c r="F33" s="23">
        <f>E33+F32</f>
        <v>20</v>
      </c>
      <c r="G33" s="25" t="str">
        <f>IF(A33="","C",IF(F33&lt;=0.2*$A$1,"A",IF(F33&lt;=0.5*$A$1,"B","C")))</f>
        <v>C</v>
      </c>
      <c r="H33" s="34">
        <f>IFERROR((J33*$J$1)+(L33*$L$1)+(N33*$N$1)+(P33*$P$1)+(R33*$R$1),0)</f>
        <v>0</v>
      </c>
      <c r="I33" s="22"/>
      <c r="J33" s="26" t="str">
        <f>IFERROR(VLOOKUP(I33,'Auxiliar (Foco externo)'!$A$2:$D$4,4,0),"")</f>
        <v/>
      </c>
      <c r="K33" s="22"/>
      <c r="L33" s="26" t="str">
        <f>IFERROR(VLOOKUP(K33,'Auxiliar (Foco externo)'!$E$2:$H$4,4,0),"")</f>
        <v/>
      </c>
      <c r="M33" s="22"/>
      <c r="N33" s="26" t="str">
        <f>IFERROR(VLOOKUP(M33,'Auxiliar (Foco externo)'!$I$2:$L$4,4,0),"")</f>
        <v/>
      </c>
      <c r="O33" s="22"/>
      <c r="P33" s="26" t="str">
        <f>IFERROR(VLOOKUP(O33,'Auxiliar (Foco externo)'!$M$2:$P$4,4,0),"")</f>
        <v/>
      </c>
      <c r="Q33" s="22"/>
      <c r="R33" s="26" t="str">
        <f>IFERROR(VLOOKUP(Q33,'Auxiliar (Foco externo)'!$Q$2:$T$4,4,0),"")</f>
        <v/>
      </c>
    </row>
    <row r="34" spans="1:18" x14ac:dyDescent="0.25">
      <c r="A34" s="23"/>
      <c r="B34" s="23"/>
      <c r="C34" s="22"/>
      <c r="D34" s="23"/>
      <c r="E34" s="23">
        <f>COUNTA(A34)</f>
        <v>0</v>
      </c>
      <c r="F34" s="23">
        <f>E34+F33</f>
        <v>20</v>
      </c>
      <c r="G34" s="25" t="str">
        <f>IF(A34="","C",IF(F34&lt;=0.2*$A$1,"A",IF(F34&lt;=0.5*$A$1,"B","C")))</f>
        <v>C</v>
      </c>
      <c r="H34" s="34">
        <f>IFERROR((J34*$J$1)+(L34*$L$1)+(N34*$N$1)+(P34*$P$1)+(R34*$R$1),0)</f>
        <v>0</v>
      </c>
      <c r="I34" s="22"/>
      <c r="J34" s="26" t="str">
        <f>IFERROR(VLOOKUP(I34,'Auxiliar (Foco externo)'!$A$2:$D$4,4,0),"")</f>
        <v/>
      </c>
      <c r="K34" s="22"/>
      <c r="L34" s="26" t="str">
        <f>IFERROR(VLOOKUP(K34,'Auxiliar (Foco externo)'!$E$2:$H$4,4,0),"")</f>
        <v/>
      </c>
      <c r="M34" s="22"/>
      <c r="N34" s="26" t="str">
        <f>IFERROR(VLOOKUP(M34,'Auxiliar (Foco externo)'!$I$2:$L$4,4,0),"")</f>
        <v/>
      </c>
      <c r="O34" s="22"/>
      <c r="P34" s="26" t="str">
        <f>IFERROR(VLOOKUP(O34,'Auxiliar (Foco externo)'!$M$2:$P$4,4,0),"")</f>
        <v/>
      </c>
      <c r="Q34" s="22"/>
      <c r="R34" s="26" t="str">
        <f>IFERROR(VLOOKUP(Q34,'Auxiliar (Foco externo)'!$Q$2:$T$4,4,0),"")</f>
        <v/>
      </c>
    </row>
    <row r="35" spans="1:18" x14ac:dyDescent="0.25">
      <c r="A35" s="23"/>
      <c r="B35" s="23"/>
      <c r="C35" s="22"/>
      <c r="D35" s="23"/>
      <c r="E35" s="23">
        <f>COUNTA(A35)</f>
        <v>0</v>
      </c>
      <c r="F35" s="23">
        <f>E35+F34</f>
        <v>20</v>
      </c>
      <c r="G35" s="25" t="str">
        <f>IF(A35="","C",IF(F35&lt;=0.2*$A$1,"A",IF(F35&lt;=0.5*$A$1,"B","C")))</f>
        <v>C</v>
      </c>
      <c r="H35" s="34">
        <f>IFERROR((J35*$J$1)+(L35*$L$1)+(N35*$N$1)+(P35*$P$1)+(R35*$R$1),0)</f>
        <v>0</v>
      </c>
      <c r="I35" s="22"/>
      <c r="J35" s="26" t="str">
        <f>IFERROR(VLOOKUP(I35,'Auxiliar (Foco externo)'!$A$2:$D$4,4,0),"")</f>
        <v/>
      </c>
      <c r="K35" s="22"/>
      <c r="L35" s="26" t="str">
        <f>IFERROR(VLOOKUP(K35,'Auxiliar (Foco externo)'!$E$2:$H$4,4,0),"")</f>
        <v/>
      </c>
      <c r="M35" s="22"/>
      <c r="N35" s="26" t="str">
        <f>IFERROR(VLOOKUP(M35,'Auxiliar (Foco externo)'!$I$2:$L$4,4,0),"")</f>
        <v/>
      </c>
      <c r="O35" s="22"/>
      <c r="P35" s="26" t="str">
        <f>IFERROR(VLOOKUP(O35,'Auxiliar (Foco externo)'!$M$2:$P$4,4,0),"")</f>
        <v/>
      </c>
      <c r="Q35" s="22"/>
      <c r="R35" s="26" t="str">
        <f>IFERROR(VLOOKUP(Q35,'Auxiliar (Foco externo)'!$Q$2:$T$4,4,0),"")</f>
        <v/>
      </c>
    </row>
    <row r="36" spans="1:18" x14ac:dyDescent="0.25">
      <c r="A36" s="23"/>
      <c r="B36" s="23"/>
      <c r="C36" s="22"/>
      <c r="D36" s="23"/>
      <c r="E36" s="23">
        <f>COUNTA(A36)</f>
        <v>0</v>
      </c>
      <c r="F36" s="23">
        <f>E36+F35</f>
        <v>20</v>
      </c>
      <c r="G36" s="25" t="str">
        <f>IF(A36="","C",IF(F36&lt;=0.2*$A$1,"A",IF(F36&lt;=0.5*$A$1,"B","C")))</f>
        <v>C</v>
      </c>
      <c r="H36" s="34">
        <f>IFERROR((J36*$J$1)+(L36*$L$1)+(N36*$N$1)+(P36*$P$1)+(R36*$R$1),0)</f>
        <v>0</v>
      </c>
      <c r="I36" s="22"/>
      <c r="J36" s="26" t="str">
        <f>IFERROR(VLOOKUP(I36,'Auxiliar (Foco externo)'!$A$2:$D$4,4,0),"")</f>
        <v/>
      </c>
      <c r="K36" s="22"/>
      <c r="L36" s="26" t="str">
        <f>IFERROR(VLOOKUP(K36,'Auxiliar (Foco externo)'!$E$2:$H$4,4,0),"")</f>
        <v/>
      </c>
      <c r="M36" s="22"/>
      <c r="N36" s="26" t="str">
        <f>IFERROR(VLOOKUP(M36,'Auxiliar (Foco externo)'!$I$2:$L$4,4,0),"")</f>
        <v/>
      </c>
      <c r="O36" s="22"/>
      <c r="P36" s="26" t="str">
        <f>IFERROR(VLOOKUP(O36,'Auxiliar (Foco externo)'!$M$2:$P$4,4,0),"")</f>
        <v/>
      </c>
      <c r="Q36" s="22"/>
      <c r="R36" s="26" t="str">
        <f>IFERROR(VLOOKUP(Q36,'Auxiliar (Foco externo)'!$Q$2:$T$4,4,0),"")</f>
        <v/>
      </c>
    </row>
    <row r="37" spans="1:18" x14ac:dyDescent="0.25">
      <c r="A37" s="23"/>
      <c r="B37" s="23"/>
      <c r="C37" s="22"/>
      <c r="D37" s="23"/>
      <c r="E37" s="23">
        <f>COUNTA(A37)</f>
        <v>0</v>
      </c>
      <c r="F37" s="23">
        <f>E37+F36</f>
        <v>20</v>
      </c>
      <c r="G37" s="25" t="str">
        <f>IF(A37="","C",IF(F37&lt;=0.2*$A$1,"A",IF(F37&lt;=0.5*$A$1,"B","C")))</f>
        <v>C</v>
      </c>
      <c r="H37" s="34">
        <f>IFERROR((J37*$J$1)+(L37*$L$1)+(N37*$N$1)+(P37*$P$1)+(R37*$R$1),0)</f>
        <v>0</v>
      </c>
      <c r="I37" s="22"/>
      <c r="J37" s="26" t="str">
        <f>IFERROR(VLOOKUP(I37,'Auxiliar (Foco externo)'!$A$2:$D$4,4,0),"")</f>
        <v/>
      </c>
      <c r="K37" s="22"/>
      <c r="L37" s="26" t="str">
        <f>IFERROR(VLOOKUP(K37,'Auxiliar (Foco externo)'!$E$2:$H$4,4,0),"")</f>
        <v/>
      </c>
      <c r="M37" s="22"/>
      <c r="N37" s="26" t="str">
        <f>IFERROR(VLOOKUP(M37,'Auxiliar (Foco externo)'!$I$2:$L$4,4,0),"")</f>
        <v/>
      </c>
      <c r="O37" s="22"/>
      <c r="P37" s="26" t="str">
        <f>IFERROR(VLOOKUP(O37,'Auxiliar (Foco externo)'!$M$2:$P$4,4,0),"")</f>
        <v/>
      </c>
      <c r="Q37" s="22"/>
      <c r="R37" s="26" t="str">
        <f>IFERROR(VLOOKUP(Q37,'Auxiliar (Foco externo)'!$Q$2:$T$4,4,0),"")</f>
        <v/>
      </c>
    </row>
    <row r="38" spans="1:18" x14ac:dyDescent="0.25">
      <c r="A38" s="23"/>
      <c r="B38" s="23"/>
      <c r="C38" s="22"/>
      <c r="D38" s="23"/>
      <c r="E38" s="23">
        <f>COUNTA(A38)</f>
        <v>0</v>
      </c>
      <c r="F38" s="23">
        <f>E38+F37</f>
        <v>20</v>
      </c>
      <c r="G38" s="25" t="str">
        <f>IF(A38="","C",IF(F38&lt;=0.2*$A$1,"A",IF(F38&lt;=0.5*$A$1,"B","C")))</f>
        <v>C</v>
      </c>
      <c r="H38" s="34">
        <f>IFERROR((J38*$J$1)+(L38*$L$1)+(N38*$N$1)+(P38*$P$1)+(R38*$R$1),0)</f>
        <v>0</v>
      </c>
      <c r="I38" s="22"/>
      <c r="J38" s="26" t="str">
        <f>IFERROR(VLOOKUP(I38,'Auxiliar (Foco externo)'!$A$2:$D$4,4,0),"")</f>
        <v/>
      </c>
      <c r="K38" s="22"/>
      <c r="L38" s="26" t="str">
        <f>IFERROR(VLOOKUP(K38,'Auxiliar (Foco externo)'!$E$2:$H$4,4,0),"")</f>
        <v/>
      </c>
      <c r="M38" s="22"/>
      <c r="N38" s="26" t="str">
        <f>IFERROR(VLOOKUP(M38,'Auxiliar (Foco externo)'!$I$2:$L$4,4,0),"")</f>
        <v/>
      </c>
      <c r="O38" s="22"/>
      <c r="P38" s="26" t="str">
        <f>IFERROR(VLOOKUP(O38,'Auxiliar (Foco externo)'!$M$2:$P$4,4,0),"")</f>
        <v/>
      </c>
      <c r="Q38" s="22"/>
      <c r="R38" s="26" t="str">
        <f>IFERROR(VLOOKUP(Q38,'Auxiliar (Foco externo)'!$Q$2:$T$4,4,0),"")</f>
        <v/>
      </c>
    </row>
    <row r="39" spans="1:18" x14ac:dyDescent="0.25">
      <c r="A39" s="23"/>
      <c r="B39" s="23"/>
      <c r="C39" s="22"/>
      <c r="D39" s="23"/>
      <c r="E39" s="23">
        <f>COUNTA(A39)</f>
        <v>0</v>
      </c>
      <c r="F39" s="23">
        <f>E39+F38</f>
        <v>20</v>
      </c>
      <c r="G39" s="25" t="str">
        <f>IF(A39="","C",IF(F39&lt;=0.2*$A$1,"A",IF(F39&lt;=0.5*$A$1,"B","C")))</f>
        <v>C</v>
      </c>
      <c r="H39" s="34">
        <f>IFERROR((J39*$J$1)+(L39*$L$1)+(N39*$N$1)+(P39*$P$1)+(R39*$R$1),0)</f>
        <v>0</v>
      </c>
      <c r="I39" s="22"/>
      <c r="J39" s="26" t="str">
        <f>IFERROR(VLOOKUP(I39,'Auxiliar (Foco externo)'!$A$2:$D$4,4,0),"")</f>
        <v/>
      </c>
      <c r="K39" s="22"/>
      <c r="L39" s="26" t="str">
        <f>IFERROR(VLOOKUP(K39,'Auxiliar (Foco externo)'!$E$2:$H$4,4,0),"")</f>
        <v/>
      </c>
      <c r="M39" s="22"/>
      <c r="N39" s="26" t="str">
        <f>IFERROR(VLOOKUP(M39,'Auxiliar (Foco externo)'!$I$2:$L$4,4,0),"")</f>
        <v/>
      </c>
      <c r="O39" s="22"/>
      <c r="P39" s="26" t="str">
        <f>IFERROR(VLOOKUP(O39,'Auxiliar (Foco externo)'!$M$2:$P$4,4,0),"")</f>
        <v/>
      </c>
      <c r="Q39" s="22"/>
      <c r="R39" s="26" t="str">
        <f>IFERROR(VLOOKUP(Q39,'Auxiliar (Foco externo)'!$Q$2:$T$4,4,0),"")</f>
        <v/>
      </c>
    </row>
    <row r="40" spans="1:18" x14ac:dyDescent="0.25">
      <c r="A40" s="23"/>
      <c r="B40" s="23"/>
      <c r="C40" s="22"/>
      <c r="D40" s="23"/>
      <c r="E40" s="23">
        <f>COUNTA(A40)</f>
        <v>0</v>
      </c>
      <c r="F40" s="23">
        <f>E40+F39</f>
        <v>20</v>
      </c>
      <c r="G40" s="25" t="str">
        <f>IF(A40="","C",IF(F40&lt;=0.2*$A$1,"A",IF(F40&lt;=0.5*$A$1,"B","C")))</f>
        <v>C</v>
      </c>
      <c r="H40" s="34">
        <f>IFERROR((J40*$J$1)+(L40*$L$1)+(N40*$N$1)+(P40*$P$1)+(R40*$R$1),0)</f>
        <v>0</v>
      </c>
      <c r="I40" s="22"/>
      <c r="J40" s="26" t="str">
        <f>IFERROR(VLOOKUP(I40,'Auxiliar (Foco externo)'!$A$2:$D$4,4,0),"")</f>
        <v/>
      </c>
      <c r="K40" s="22"/>
      <c r="L40" s="26" t="str">
        <f>IFERROR(VLOOKUP(K40,'Auxiliar (Foco externo)'!$E$2:$H$4,4,0),"")</f>
        <v/>
      </c>
      <c r="M40" s="22"/>
      <c r="N40" s="26" t="str">
        <f>IFERROR(VLOOKUP(M40,'Auxiliar (Foco externo)'!$I$2:$L$4,4,0),"")</f>
        <v/>
      </c>
      <c r="O40" s="22"/>
      <c r="P40" s="26" t="str">
        <f>IFERROR(VLOOKUP(O40,'Auxiliar (Foco externo)'!$M$2:$P$4,4,0),"")</f>
        <v/>
      </c>
      <c r="Q40" s="22"/>
      <c r="R40" s="26" t="str">
        <f>IFERROR(VLOOKUP(Q40,'Auxiliar (Foco externo)'!$Q$2:$T$4,4,0),"")</f>
        <v/>
      </c>
    </row>
    <row r="41" spans="1:18" x14ac:dyDescent="0.25">
      <c r="A41" s="23"/>
      <c r="B41" s="23"/>
      <c r="C41" s="22"/>
      <c r="D41" s="23"/>
      <c r="E41" s="23">
        <f>COUNTA(A41)</f>
        <v>0</v>
      </c>
      <c r="F41" s="23">
        <f>E41+F40</f>
        <v>20</v>
      </c>
      <c r="G41" s="25" t="str">
        <f>IF(A41="","C",IF(F41&lt;=0.2*$A$1,"A",IF(F41&lt;=0.5*$A$1,"B","C")))</f>
        <v>C</v>
      </c>
      <c r="H41" s="34">
        <f>IFERROR((J41*$J$1)+(L41*$L$1)+(N41*$N$1)+(P41*$P$1)+(R41*$R$1),0)</f>
        <v>0</v>
      </c>
      <c r="I41" s="22"/>
      <c r="J41" s="26" t="str">
        <f>IFERROR(VLOOKUP(I41,'Auxiliar (Foco externo)'!$A$2:$D$4,4,0),"")</f>
        <v/>
      </c>
      <c r="K41" s="22"/>
      <c r="L41" s="26" t="str">
        <f>IFERROR(VLOOKUP(K41,'Auxiliar (Foco externo)'!$E$2:$H$4,4,0),"")</f>
        <v/>
      </c>
      <c r="M41" s="22"/>
      <c r="N41" s="26" t="str">
        <f>IFERROR(VLOOKUP(M41,'Auxiliar (Foco externo)'!$I$2:$L$4,4,0),"")</f>
        <v/>
      </c>
      <c r="O41" s="22"/>
      <c r="P41" s="26" t="str">
        <f>IFERROR(VLOOKUP(O41,'Auxiliar (Foco externo)'!$M$2:$P$4,4,0),"")</f>
        <v/>
      </c>
      <c r="Q41" s="22"/>
      <c r="R41" s="26" t="str">
        <f>IFERROR(VLOOKUP(Q41,'Auxiliar (Foco externo)'!$Q$2:$T$4,4,0),"")</f>
        <v/>
      </c>
    </row>
    <row r="42" spans="1:18" x14ac:dyDescent="0.25">
      <c r="A42" s="23"/>
      <c r="B42" s="23"/>
      <c r="C42" s="22"/>
      <c r="D42" s="23"/>
      <c r="E42" s="23">
        <f>COUNTA(A42)</f>
        <v>0</v>
      </c>
      <c r="F42" s="23">
        <f>E42+F41</f>
        <v>20</v>
      </c>
      <c r="G42" s="25" t="str">
        <f>IF(A42="","C",IF(F42&lt;=0.2*$A$1,"A",IF(F42&lt;=0.5*$A$1,"B","C")))</f>
        <v>C</v>
      </c>
      <c r="H42" s="34">
        <f>IFERROR((J42*$J$1)+(L42*$L$1)+(N42*$N$1)+(P42*$P$1)+(R42*$R$1),0)</f>
        <v>0</v>
      </c>
      <c r="I42" s="22"/>
      <c r="J42" s="26" t="str">
        <f>IFERROR(VLOOKUP(I42,'Auxiliar (Foco externo)'!$A$2:$D$4,4,0),"")</f>
        <v/>
      </c>
      <c r="K42" s="22"/>
      <c r="L42" s="26" t="str">
        <f>IFERROR(VLOOKUP(K42,'Auxiliar (Foco externo)'!$E$2:$H$4,4,0),"")</f>
        <v/>
      </c>
      <c r="M42" s="22"/>
      <c r="N42" s="26" t="str">
        <f>IFERROR(VLOOKUP(M42,'Auxiliar (Foco externo)'!$I$2:$L$4,4,0),"")</f>
        <v/>
      </c>
      <c r="O42" s="22"/>
      <c r="P42" s="26" t="str">
        <f>IFERROR(VLOOKUP(O42,'Auxiliar (Foco externo)'!$M$2:$P$4,4,0),"")</f>
        <v/>
      </c>
      <c r="Q42" s="22"/>
      <c r="R42" s="26" t="str">
        <f>IFERROR(VLOOKUP(Q42,'Auxiliar (Foco externo)'!$Q$2:$T$4,4,0),"")</f>
        <v/>
      </c>
    </row>
    <row r="43" spans="1:18" x14ac:dyDescent="0.25">
      <c r="A43" s="23"/>
      <c r="B43" s="23"/>
      <c r="C43" s="22"/>
      <c r="D43" s="23"/>
      <c r="E43" s="23">
        <f>COUNTA(A43)</f>
        <v>0</v>
      </c>
      <c r="F43" s="23">
        <f>E43+F42</f>
        <v>20</v>
      </c>
      <c r="G43" s="25" t="str">
        <f>IF(A43="","C",IF(F43&lt;=0.2*$A$1,"A",IF(F43&lt;=0.5*$A$1,"B","C")))</f>
        <v>C</v>
      </c>
      <c r="H43" s="34">
        <f>IFERROR((J43*$J$1)+(L43*$L$1)+(N43*$N$1)+(P43*$P$1)+(R43*$R$1),0)</f>
        <v>0</v>
      </c>
      <c r="I43" s="22"/>
      <c r="J43" s="26" t="str">
        <f>IFERROR(VLOOKUP(I43,'Auxiliar (Foco externo)'!$A$2:$D$4,4,0),"")</f>
        <v/>
      </c>
      <c r="K43" s="22"/>
      <c r="L43" s="26" t="str">
        <f>IFERROR(VLOOKUP(K43,'Auxiliar (Foco externo)'!$E$2:$H$4,4,0),"")</f>
        <v/>
      </c>
      <c r="M43" s="22"/>
      <c r="N43" s="26" t="str">
        <f>IFERROR(VLOOKUP(M43,'Auxiliar (Foco externo)'!$I$2:$L$4,4,0),"")</f>
        <v/>
      </c>
      <c r="O43" s="22"/>
      <c r="P43" s="26" t="str">
        <f>IFERROR(VLOOKUP(O43,'Auxiliar (Foco externo)'!$M$2:$P$4,4,0),"")</f>
        <v/>
      </c>
      <c r="Q43" s="22"/>
      <c r="R43" s="26" t="str">
        <f>IFERROR(VLOOKUP(Q43,'Auxiliar (Foco externo)'!$Q$2:$T$4,4,0),"")</f>
        <v/>
      </c>
    </row>
    <row r="44" spans="1:18" x14ac:dyDescent="0.25">
      <c r="A44" s="23"/>
      <c r="B44" s="23"/>
      <c r="C44" s="22"/>
      <c r="D44" s="23"/>
      <c r="E44" s="23">
        <f>COUNTA(A44)</f>
        <v>0</v>
      </c>
      <c r="F44" s="23">
        <f>E44+F43</f>
        <v>20</v>
      </c>
      <c r="G44" s="25" t="str">
        <f>IF(A44="","C",IF(F44&lt;=0.2*$A$1,"A",IF(F44&lt;=0.5*$A$1,"B","C")))</f>
        <v>C</v>
      </c>
      <c r="H44" s="34">
        <f>IFERROR((J44*$J$1)+(L44*$L$1)+(N44*$N$1)+(P44*$P$1)+(R44*$R$1),0)</f>
        <v>0</v>
      </c>
      <c r="I44" s="22"/>
      <c r="J44" s="26" t="str">
        <f>IFERROR(VLOOKUP(I44,'Auxiliar (Foco externo)'!$A$2:$D$4,4,0),"")</f>
        <v/>
      </c>
      <c r="K44" s="22"/>
      <c r="L44" s="26" t="str">
        <f>IFERROR(VLOOKUP(K44,'Auxiliar (Foco externo)'!$E$2:$H$4,4,0),"")</f>
        <v/>
      </c>
      <c r="M44" s="22"/>
      <c r="N44" s="26" t="str">
        <f>IFERROR(VLOOKUP(M44,'Auxiliar (Foco externo)'!$I$2:$L$4,4,0),"")</f>
        <v/>
      </c>
      <c r="O44" s="22"/>
      <c r="P44" s="26" t="str">
        <f>IFERROR(VLOOKUP(O44,'Auxiliar (Foco externo)'!$M$2:$P$4,4,0),"")</f>
        <v/>
      </c>
      <c r="Q44" s="22"/>
      <c r="R44" s="26" t="str">
        <f>IFERROR(VLOOKUP(Q44,'Auxiliar (Foco externo)'!$Q$2:$T$4,4,0),"")</f>
        <v/>
      </c>
    </row>
    <row r="45" spans="1:18" x14ac:dyDescent="0.25">
      <c r="A45" s="23"/>
      <c r="B45" s="23"/>
      <c r="C45" s="22"/>
      <c r="D45" s="23"/>
      <c r="E45" s="23">
        <f>COUNTA(A45)</f>
        <v>0</v>
      </c>
      <c r="F45" s="23">
        <f>E45+F44</f>
        <v>20</v>
      </c>
      <c r="G45" s="25" t="str">
        <f>IF(A45="","C",IF(F45&lt;=0.2*$A$1,"A",IF(F45&lt;=0.5*$A$1,"B","C")))</f>
        <v>C</v>
      </c>
      <c r="H45" s="34">
        <f>IFERROR((J45*$J$1)+(L45*$L$1)+(N45*$N$1)+(P45*$P$1)+(R45*$R$1),0)</f>
        <v>0</v>
      </c>
      <c r="I45" s="22"/>
      <c r="J45" s="26" t="str">
        <f>IFERROR(VLOOKUP(I45,'Auxiliar (Foco externo)'!$A$2:$D$4,4,0),"")</f>
        <v/>
      </c>
      <c r="K45" s="22"/>
      <c r="L45" s="26" t="str">
        <f>IFERROR(VLOOKUP(K45,'Auxiliar (Foco externo)'!$E$2:$H$4,4,0),"")</f>
        <v/>
      </c>
      <c r="M45" s="22"/>
      <c r="N45" s="26" t="str">
        <f>IFERROR(VLOOKUP(M45,'Auxiliar (Foco externo)'!$I$2:$L$4,4,0),"")</f>
        <v/>
      </c>
      <c r="O45" s="22"/>
      <c r="P45" s="26" t="str">
        <f>IFERROR(VLOOKUP(O45,'Auxiliar (Foco externo)'!$M$2:$P$4,4,0),"")</f>
        <v/>
      </c>
      <c r="Q45" s="22"/>
      <c r="R45" s="26" t="str">
        <f>IFERROR(VLOOKUP(Q45,'Auxiliar (Foco externo)'!$Q$2:$T$4,4,0),"")</f>
        <v/>
      </c>
    </row>
    <row r="46" spans="1:18" x14ac:dyDescent="0.25">
      <c r="A46" s="23"/>
      <c r="B46" s="23"/>
      <c r="C46" s="22"/>
      <c r="D46" s="23"/>
      <c r="E46" s="23">
        <f>COUNTA(A46)</f>
        <v>0</v>
      </c>
      <c r="F46" s="23">
        <f>E46+F45</f>
        <v>20</v>
      </c>
      <c r="G46" s="25" t="str">
        <f>IF(A46="","C",IF(F46&lt;=0.2*$A$1,"A",IF(F46&lt;=0.5*$A$1,"B","C")))</f>
        <v>C</v>
      </c>
      <c r="H46" s="34">
        <f>IFERROR((J46*$J$1)+(L46*$L$1)+(N46*$N$1)+(P46*$P$1)+(R46*$R$1),0)</f>
        <v>0</v>
      </c>
      <c r="I46" s="22"/>
      <c r="J46" s="26" t="str">
        <f>IFERROR(VLOOKUP(I46,'Auxiliar (Foco externo)'!$A$2:$D$4,4,0),"")</f>
        <v/>
      </c>
      <c r="K46" s="22"/>
      <c r="L46" s="26" t="str">
        <f>IFERROR(VLOOKUP(K46,'Auxiliar (Foco externo)'!$E$2:$H$4,4,0),"")</f>
        <v/>
      </c>
      <c r="M46" s="22"/>
      <c r="N46" s="26" t="str">
        <f>IFERROR(VLOOKUP(M46,'Auxiliar (Foco externo)'!$I$2:$L$4,4,0),"")</f>
        <v/>
      </c>
      <c r="O46" s="22"/>
      <c r="P46" s="26" t="str">
        <f>IFERROR(VLOOKUP(O46,'Auxiliar (Foco externo)'!$M$2:$P$4,4,0),"")</f>
        <v/>
      </c>
      <c r="Q46" s="22"/>
      <c r="R46" s="26" t="str">
        <f>IFERROR(VLOOKUP(Q46,'Auxiliar (Foco externo)'!$Q$2:$T$4,4,0),"")</f>
        <v/>
      </c>
    </row>
    <row r="47" spans="1:18" x14ac:dyDescent="0.25">
      <c r="A47" s="23"/>
      <c r="B47" s="23"/>
      <c r="C47" s="22"/>
      <c r="D47" s="23"/>
      <c r="E47" s="23">
        <f>COUNTA(A47)</f>
        <v>0</v>
      </c>
      <c r="F47" s="23">
        <f>E47+F46</f>
        <v>20</v>
      </c>
      <c r="G47" s="25" t="str">
        <f>IF(A47="","C",IF(F47&lt;=0.2*$A$1,"A",IF(F47&lt;=0.5*$A$1,"B","C")))</f>
        <v>C</v>
      </c>
      <c r="H47" s="34">
        <f>IFERROR((J47*$J$1)+(L47*$L$1)+(N47*$N$1)+(P47*$P$1)+(R47*$R$1),0)</f>
        <v>0</v>
      </c>
      <c r="I47" s="22"/>
      <c r="J47" s="26" t="str">
        <f>IFERROR(VLOOKUP(I47,'Auxiliar (Foco externo)'!$A$2:$D$4,4,0),"")</f>
        <v/>
      </c>
      <c r="K47" s="22"/>
      <c r="L47" s="26" t="str">
        <f>IFERROR(VLOOKUP(K47,'Auxiliar (Foco externo)'!$E$2:$H$4,4,0),"")</f>
        <v/>
      </c>
      <c r="M47" s="22"/>
      <c r="N47" s="26" t="str">
        <f>IFERROR(VLOOKUP(M47,'Auxiliar (Foco externo)'!$I$2:$L$4,4,0),"")</f>
        <v/>
      </c>
      <c r="O47" s="22"/>
      <c r="P47" s="26" t="str">
        <f>IFERROR(VLOOKUP(O47,'Auxiliar (Foco externo)'!$M$2:$P$4,4,0),"")</f>
        <v/>
      </c>
      <c r="Q47" s="22"/>
      <c r="R47" s="26" t="str">
        <f>IFERROR(VLOOKUP(Q47,'Auxiliar (Foco externo)'!$Q$2:$T$4,4,0),"")</f>
        <v/>
      </c>
    </row>
    <row r="48" spans="1:18" x14ac:dyDescent="0.25">
      <c r="A48" s="23"/>
      <c r="B48" s="23"/>
      <c r="C48" s="22"/>
      <c r="D48" s="23"/>
      <c r="E48" s="23">
        <f>COUNTA(A48)</f>
        <v>0</v>
      </c>
      <c r="F48" s="23">
        <f>E48+F47</f>
        <v>20</v>
      </c>
      <c r="G48" s="25" t="str">
        <f>IF(A48="","C",IF(F48&lt;=0.2*$A$1,"A",IF(F48&lt;=0.5*$A$1,"B","C")))</f>
        <v>C</v>
      </c>
      <c r="H48" s="34">
        <f>IFERROR((J48*$J$1)+(L48*$L$1)+(N48*$N$1)+(P48*$P$1)+(R48*$R$1),0)</f>
        <v>0</v>
      </c>
      <c r="I48" s="22"/>
      <c r="J48" s="26" t="str">
        <f>IFERROR(VLOOKUP(I48,'Auxiliar (Foco externo)'!$A$2:$D$4,4,0),"")</f>
        <v/>
      </c>
      <c r="K48" s="22"/>
      <c r="L48" s="26" t="str">
        <f>IFERROR(VLOOKUP(K48,'Auxiliar (Foco externo)'!$E$2:$H$4,4,0),"")</f>
        <v/>
      </c>
      <c r="M48" s="22"/>
      <c r="N48" s="26" t="str">
        <f>IFERROR(VLOOKUP(M48,'Auxiliar (Foco externo)'!$I$2:$L$4,4,0),"")</f>
        <v/>
      </c>
      <c r="O48" s="22"/>
      <c r="P48" s="26" t="str">
        <f>IFERROR(VLOOKUP(O48,'Auxiliar (Foco externo)'!$M$2:$P$4,4,0),"")</f>
        <v/>
      </c>
      <c r="Q48" s="22"/>
      <c r="R48" s="26" t="str">
        <f>IFERROR(VLOOKUP(Q48,'Auxiliar (Foco externo)'!$Q$2:$T$4,4,0),"")</f>
        <v/>
      </c>
    </row>
    <row r="49" spans="1:18" x14ac:dyDescent="0.25">
      <c r="A49" s="23"/>
      <c r="B49" s="23"/>
      <c r="C49" s="22"/>
      <c r="D49" s="23"/>
      <c r="E49" s="23">
        <f>COUNTA(A49)</f>
        <v>0</v>
      </c>
      <c r="F49" s="23">
        <f>E49+F48</f>
        <v>20</v>
      </c>
      <c r="G49" s="25" t="str">
        <f>IF(A49="","C",IF(F49&lt;=0.2*$A$1,"A",IF(F49&lt;=0.5*$A$1,"B","C")))</f>
        <v>C</v>
      </c>
      <c r="H49" s="34">
        <f>IFERROR((J49*$J$1)+(L49*$L$1)+(N49*$N$1)+(P49*$P$1)+(R49*$R$1),0)</f>
        <v>0</v>
      </c>
      <c r="I49" s="22"/>
      <c r="J49" s="26" t="str">
        <f>IFERROR(VLOOKUP(I49,'Auxiliar (Foco externo)'!$A$2:$D$4,4,0),"")</f>
        <v/>
      </c>
      <c r="K49" s="22"/>
      <c r="L49" s="26" t="str">
        <f>IFERROR(VLOOKUP(K49,'Auxiliar (Foco externo)'!$E$2:$H$4,4,0),"")</f>
        <v/>
      </c>
      <c r="M49" s="22"/>
      <c r="N49" s="26" t="str">
        <f>IFERROR(VLOOKUP(M49,'Auxiliar (Foco externo)'!$I$2:$L$4,4,0),"")</f>
        <v/>
      </c>
      <c r="O49" s="22"/>
      <c r="P49" s="26" t="str">
        <f>IFERROR(VLOOKUP(O49,'Auxiliar (Foco externo)'!$M$2:$P$4,4,0),"")</f>
        <v/>
      </c>
      <c r="Q49" s="22"/>
      <c r="R49" s="26" t="str">
        <f>IFERROR(VLOOKUP(Q49,'Auxiliar (Foco externo)'!$Q$2:$T$4,4,0),"")</f>
        <v/>
      </c>
    </row>
    <row r="50" spans="1:18" x14ac:dyDescent="0.25">
      <c r="A50" s="23"/>
      <c r="B50" s="23"/>
      <c r="C50" s="22"/>
      <c r="D50" s="23"/>
      <c r="E50" s="23">
        <f>COUNTA(A50)</f>
        <v>0</v>
      </c>
      <c r="F50" s="23">
        <f>E50+F49</f>
        <v>20</v>
      </c>
      <c r="G50" s="25" t="str">
        <f>IF(A50="","C",IF(F50&lt;=0.2*$A$1,"A",IF(F50&lt;=0.5*$A$1,"B","C")))</f>
        <v>C</v>
      </c>
      <c r="H50" s="34">
        <f>IFERROR((J50*$J$1)+(L50*$L$1)+(N50*$N$1)+(P50*$P$1)+(R50*$R$1),0)</f>
        <v>0</v>
      </c>
      <c r="I50" s="22"/>
      <c r="J50" s="26" t="str">
        <f>IFERROR(VLOOKUP(I50,'Auxiliar (Foco externo)'!$A$2:$D$4,4,0),"")</f>
        <v/>
      </c>
      <c r="K50" s="22"/>
      <c r="L50" s="26" t="str">
        <f>IFERROR(VLOOKUP(K50,'Auxiliar (Foco externo)'!$E$2:$H$4,4,0),"")</f>
        <v/>
      </c>
      <c r="M50" s="22"/>
      <c r="N50" s="26" t="str">
        <f>IFERROR(VLOOKUP(M50,'Auxiliar (Foco externo)'!$I$2:$L$4,4,0),"")</f>
        <v/>
      </c>
      <c r="O50" s="22"/>
      <c r="P50" s="26" t="str">
        <f>IFERROR(VLOOKUP(O50,'Auxiliar (Foco externo)'!$M$2:$P$4,4,0),"")</f>
        <v/>
      </c>
      <c r="Q50" s="22"/>
      <c r="R50" s="26" t="str">
        <f>IFERROR(VLOOKUP(Q50,'Auxiliar (Foco externo)'!$Q$2:$T$4,4,0),"")</f>
        <v/>
      </c>
    </row>
    <row r="51" spans="1:18" x14ac:dyDescent="0.25">
      <c r="A51" s="23"/>
      <c r="B51" s="23"/>
      <c r="C51" s="22"/>
      <c r="D51" s="23"/>
      <c r="E51" s="23">
        <f>COUNTA(A51)</f>
        <v>0</v>
      </c>
      <c r="F51" s="23">
        <f>E51+F50</f>
        <v>20</v>
      </c>
      <c r="G51" s="25" t="str">
        <f>IF(A51="","C",IF(F51&lt;=0.2*$A$1,"A",IF(F51&lt;=0.5*$A$1,"B","C")))</f>
        <v>C</v>
      </c>
      <c r="H51" s="34">
        <f>IFERROR((J51*$J$1)+(L51*$L$1)+(N51*$N$1)+(P51*$P$1)+(R51*$R$1),0)</f>
        <v>0</v>
      </c>
      <c r="I51" s="22"/>
      <c r="J51" s="26" t="str">
        <f>IFERROR(VLOOKUP(I51,'Auxiliar (Foco externo)'!$A$2:$D$4,4,0),"")</f>
        <v/>
      </c>
      <c r="K51" s="22"/>
      <c r="L51" s="26" t="str">
        <f>IFERROR(VLOOKUP(K51,'Auxiliar (Foco externo)'!$E$2:$H$4,4,0),"")</f>
        <v/>
      </c>
      <c r="M51" s="22"/>
      <c r="N51" s="26" t="str">
        <f>IFERROR(VLOOKUP(M51,'Auxiliar (Foco externo)'!$I$2:$L$4,4,0),"")</f>
        <v/>
      </c>
      <c r="O51" s="22"/>
      <c r="P51" s="26" t="str">
        <f>IFERROR(VLOOKUP(O51,'Auxiliar (Foco externo)'!$M$2:$P$4,4,0),"")</f>
        <v/>
      </c>
      <c r="Q51" s="22"/>
      <c r="R51" s="26" t="str">
        <f>IFERROR(VLOOKUP(Q51,'Auxiliar (Foco externo)'!$Q$2:$T$4,4,0),"")</f>
        <v/>
      </c>
    </row>
    <row r="52" spans="1:18" x14ac:dyDescent="0.25">
      <c r="A52" s="23"/>
      <c r="B52" s="23"/>
      <c r="C52" s="22"/>
      <c r="D52" s="23"/>
      <c r="E52" s="23">
        <f>COUNTA(A52)</f>
        <v>0</v>
      </c>
      <c r="F52" s="23">
        <f>E52+F51</f>
        <v>20</v>
      </c>
      <c r="G52" s="25" t="str">
        <f>IF(A52="","C",IF(F52&lt;=0.2*$A$1,"A",IF(F52&lt;=0.5*$A$1,"B","C")))</f>
        <v>C</v>
      </c>
      <c r="H52" s="34">
        <f>IFERROR((J52*$J$1)+(L52*$L$1)+(N52*$N$1)+(P52*$P$1)+(R52*$R$1),0)</f>
        <v>0</v>
      </c>
      <c r="I52" s="22"/>
      <c r="J52" s="26" t="str">
        <f>IFERROR(VLOOKUP(I52,'Auxiliar (Foco externo)'!$A$2:$D$4,4,0),"")</f>
        <v/>
      </c>
      <c r="K52" s="22"/>
      <c r="L52" s="26" t="str">
        <f>IFERROR(VLOOKUP(K52,'Auxiliar (Foco externo)'!$E$2:$H$4,4,0),"")</f>
        <v/>
      </c>
      <c r="M52" s="22"/>
      <c r="N52" s="26" t="str">
        <f>IFERROR(VLOOKUP(M52,'Auxiliar (Foco externo)'!$I$2:$L$4,4,0),"")</f>
        <v/>
      </c>
      <c r="O52" s="22"/>
      <c r="P52" s="26" t="str">
        <f>IFERROR(VLOOKUP(O52,'Auxiliar (Foco externo)'!$M$2:$P$4,4,0),"")</f>
        <v/>
      </c>
      <c r="Q52" s="22"/>
      <c r="R52" s="26" t="str">
        <f>IFERROR(VLOOKUP(Q52,'Auxiliar (Foco externo)'!$Q$2:$T$4,4,0),"")</f>
        <v/>
      </c>
    </row>
    <row r="53" spans="1:18" x14ac:dyDescent="0.25">
      <c r="A53" s="23"/>
      <c r="B53" s="23"/>
      <c r="C53" s="22"/>
      <c r="D53" s="23"/>
      <c r="E53" s="23">
        <f>COUNTA(A53)</f>
        <v>0</v>
      </c>
      <c r="F53" s="23">
        <f>E53+F52</f>
        <v>20</v>
      </c>
      <c r="G53" s="25" t="str">
        <f>IF(A53="","C",IF(F53&lt;=0.2*$A$1,"A",IF(F53&lt;=0.5*$A$1,"B","C")))</f>
        <v>C</v>
      </c>
      <c r="H53" s="34">
        <f>IFERROR((J53*$J$1)+(L53*$L$1)+(N53*$N$1)+(P53*$P$1)+(R53*$R$1),0)</f>
        <v>0</v>
      </c>
      <c r="I53" s="22"/>
      <c r="J53" s="26" t="str">
        <f>IFERROR(VLOOKUP(I53,'Auxiliar (Foco externo)'!$A$2:$D$4,4,0),"")</f>
        <v/>
      </c>
      <c r="K53" s="22"/>
      <c r="L53" s="26" t="str">
        <f>IFERROR(VLOOKUP(K53,'Auxiliar (Foco externo)'!$E$2:$H$4,4,0),"")</f>
        <v/>
      </c>
      <c r="M53" s="22"/>
      <c r="N53" s="26" t="str">
        <f>IFERROR(VLOOKUP(M53,'Auxiliar (Foco externo)'!$I$2:$L$4,4,0),"")</f>
        <v/>
      </c>
      <c r="O53" s="22"/>
      <c r="P53" s="26" t="str">
        <f>IFERROR(VLOOKUP(O53,'Auxiliar (Foco externo)'!$M$2:$P$4,4,0),"")</f>
        <v/>
      </c>
      <c r="Q53" s="22"/>
      <c r="R53" s="26" t="str">
        <f>IFERROR(VLOOKUP(Q53,'Auxiliar (Foco externo)'!$Q$2:$T$4,4,0),"")</f>
        <v/>
      </c>
    </row>
    <row r="54" spans="1:18" x14ac:dyDescent="0.25">
      <c r="A54" s="23"/>
      <c r="B54" s="23"/>
      <c r="C54" s="22"/>
      <c r="D54" s="23"/>
      <c r="E54" s="23">
        <f>COUNTA(A54)</f>
        <v>0</v>
      </c>
      <c r="F54" s="23">
        <f>E54+F53</f>
        <v>20</v>
      </c>
      <c r="G54" s="25" t="str">
        <f>IF(A54="","C",IF(F54&lt;=0.2*$A$1,"A",IF(F54&lt;=0.5*$A$1,"B","C")))</f>
        <v>C</v>
      </c>
      <c r="H54" s="34">
        <f>IFERROR((J54*$J$1)+(L54*$L$1)+(N54*$N$1)+(P54*$P$1)+(R54*$R$1),0)</f>
        <v>0</v>
      </c>
      <c r="I54" s="22"/>
      <c r="J54" s="26" t="str">
        <f>IFERROR(VLOOKUP(I54,'Auxiliar (Foco externo)'!$A$2:$D$4,4,0),"")</f>
        <v/>
      </c>
      <c r="K54" s="22"/>
      <c r="L54" s="26" t="str">
        <f>IFERROR(VLOOKUP(K54,'Auxiliar (Foco externo)'!$E$2:$H$4,4,0),"")</f>
        <v/>
      </c>
      <c r="M54" s="22"/>
      <c r="N54" s="26" t="str">
        <f>IFERROR(VLOOKUP(M54,'Auxiliar (Foco externo)'!$I$2:$L$4,4,0),"")</f>
        <v/>
      </c>
      <c r="O54" s="22"/>
      <c r="P54" s="26" t="str">
        <f>IFERROR(VLOOKUP(O54,'Auxiliar (Foco externo)'!$M$2:$P$4,4,0),"")</f>
        <v/>
      </c>
      <c r="Q54" s="22"/>
      <c r="R54" s="26" t="str">
        <f>IFERROR(VLOOKUP(Q54,'Auxiliar (Foco externo)'!$Q$2:$T$4,4,0),"")</f>
        <v/>
      </c>
    </row>
    <row r="55" spans="1:18" x14ac:dyDescent="0.25">
      <c r="A55" s="23"/>
      <c r="B55" s="23"/>
      <c r="C55" s="22"/>
      <c r="D55" s="23"/>
      <c r="E55" s="23">
        <f>COUNTA(A55)</f>
        <v>0</v>
      </c>
      <c r="F55" s="23">
        <f>E55+F54</f>
        <v>20</v>
      </c>
      <c r="G55" s="25" t="str">
        <f>IF(A55="","C",IF(F55&lt;=0.2*$A$1,"A",IF(F55&lt;=0.5*$A$1,"B","C")))</f>
        <v>C</v>
      </c>
      <c r="H55" s="34">
        <f>IFERROR((J55*$J$1)+(L55*$L$1)+(N55*$N$1)+(P55*$P$1)+(R55*$R$1),0)</f>
        <v>0</v>
      </c>
      <c r="I55" s="22"/>
      <c r="J55" s="26" t="str">
        <f>IFERROR(VLOOKUP(I55,'Auxiliar (Foco externo)'!$A$2:$D$4,4,0),"")</f>
        <v/>
      </c>
      <c r="K55" s="22"/>
      <c r="L55" s="26" t="str">
        <f>IFERROR(VLOOKUP(K55,'Auxiliar (Foco externo)'!$E$2:$H$4,4,0),"")</f>
        <v/>
      </c>
      <c r="M55" s="22"/>
      <c r="N55" s="26" t="str">
        <f>IFERROR(VLOOKUP(M55,'Auxiliar (Foco externo)'!$I$2:$L$4,4,0),"")</f>
        <v/>
      </c>
      <c r="O55" s="22"/>
      <c r="P55" s="26" t="str">
        <f>IFERROR(VLOOKUP(O55,'Auxiliar (Foco externo)'!$M$2:$P$4,4,0),"")</f>
        <v/>
      </c>
      <c r="Q55" s="22"/>
      <c r="R55" s="26" t="str">
        <f>IFERROR(VLOOKUP(Q55,'Auxiliar (Foco externo)'!$Q$2:$T$4,4,0),"")</f>
        <v/>
      </c>
    </row>
    <row r="56" spans="1:18" x14ac:dyDescent="0.25">
      <c r="A56" s="23"/>
      <c r="B56" s="23"/>
      <c r="C56" s="22"/>
      <c r="D56" s="23"/>
      <c r="E56" s="23">
        <f>COUNTA(A56)</f>
        <v>0</v>
      </c>
      <c r="F56" s="23">
        <f>E56+F55</f>
        <v>20</v>
      </c>
      <c r="G56" s="25" t="str">
        <f>IF(A56="","C",IF(F56&lt;=0.2*$A$1,"A",IF(F56&lt;=0.5*$A$1,"B","C")))</f>
        <v>C</v>
      </c>
      <c r="H56" s="34">
        <f>IFERROR((J56*$J$1)+(L56*$L$1)+(N56*$N$1)+(P56*$P$1)+(R56*$R$1),0)</f>
        <v>0</v>
      </c>
      <c r="I56" s="22"/>
      <c r="J56" s="26" t="str">
        <f>IFERROR(VLOOKUP(I56,'Auxiliar (Foco externo)'!$A$2:$D$4,4,0),"")</f>
        <v/>
      </c>
      <c r="K56" s="22"/>
      <c r="L56" s="26" t="str">
        <f>IFERROR(VLOOKUP(K56,'Auxiliar (Foco externo)'!$E$2:$H$4,4,0),"")</f>
        <v/>
      </c>
      <c r="M56" s="22"/>
      <c r="N56" s="26" t="str">
        <f>IFERROR(VLOOKUP(M56,'Auxiliar (Foco externo)'!$I$2:$L$4,4,0),"")</f>
        <v/>
      </c>
      <c r="O56" s="22"/>
      <c r="P56" s="26" t="str">
        <f>IFERROR(VLOOKUP(O56,'Auxiliar (Foco externo)'!$M$2:$P$4,4,0),"")</f>
        <v/>
      </c>
      <c r="Q56" s="22"/>
      <c r="R56" s="26" t="str">
        <f>IFERROR(VLOOKUP(Q56,'Auxiliar (Foco externo)'!$Q$2:$T$4,4,0),"")</f>
        <v/>
      </c>
    </row>
    <row r="57" spans="1:18" x14ac:dyDescent="0.25">
      <c r="A57" s="23"/>
      <c r="B57" s="23"/>
      <c r="C57" s="22"/>
      <c r="D57" s="23"/>
      <c r="E57" s="23">
        <f>COUNTA(A57)</f>
        <v>0</v>
      </c>
      <c r="F57" s="23">
        <f>E57+F56</f>
        <v>20</v>
      </c>
      <c r="G57" s="25" t="str">
        <f>IF(A57="","C",IF(F57&lt;=0.2*$A$1,"A",IF(F57&lt;=0.5*$A$1,"B","C")))</f>
        <v>C</v>
      </c>
      <c r="H57" s="34">
        <f>IFERROR((J57*$J$1)+(L57*$L$1)+(N57*$N$1)+(P57*$P$1)+(R57*$R$1),0)</f>
        <v>0</v>
      </c>
      <c r="I57" s="22"/>
      <c r="J57" s="26" t="str">
        <f>IFERROR(VLOOKUP(I57,'Auxiliar (Foco externo)'!$A$2:$D$4,4,0),"")</f>
        <v/>
      </c>
      <c r="K57" s="22"/>
      <c r="L57" s="26" t="str">
        <f>IFERROR(VLOOKUP(K57,'Auxiliar (Foco externo)'!$E$2:$H$4,4,0),"")</f>
        <v/>
      </c>
      <c r="M57" s="22"/>
      <c r="N57" s="26" t="str">
        <f>IFERROR(VLOOKUP(M57,'Auxiliar (Foco externo)'!$I$2:$L$4,4,0),"")</f>
        <v/>
      </c>
      <c r="O57" s="22"/>
      <c r="P57" s="26" t="str">
        <f>IFERROR(VLOOKUP(O57,'Auxiliar (Foco externo)'!$M$2:$P$4,4,0),"")</f>
        <v/>
      </c>
      <c r="Q57" s="22"/>
      <c r="R57" s="26" t="str">
        <f>IFERROR(VLOOKUP(Q57,'Auxiliar (Foco externo)'!$Q$2:$T$4,4,0),"")</f>
        <v/>
      </c>
    </row>
    <row r="58" spans="1:18" x14ac:dyDescent="0.25">
      <c r="A58" s="23"/>
      <c r="B58" s="23"/>
      <c r="C58" s="22"/>
      <c r="D58" s="23"/>
      <c r="E58" s="23">
        <f>COUNTA(A58)</f>
        <v>0</v>
      </c>
      <c r="F58" s="23">
        <f>E58+F57</f>
        <v>20</v>
      </c>
      <c r="G58" s="25" t="str">
        <f>IF(A58="","C",IF(F58&lt;=0.2*$A$1,"A",IF(F58&lt;=0.5*$A$1,"B","C")))</f>
        <v>C</v>
      </c>
      <c r="H58" s="34">
        <f>IFERROR((J58*$J$1)+(L58*$L$1)+(N58*$N$1)+(P58*$P$1)+(R58*$R$1),0)</f>
        <v>0</v>
      </c>
      <c r="I58" s="22"/>
      <c r="J58" s="26" t="str">
        <f>IFERROR(VLOOKUP(I58,'Auxiliar (Foco externo)'!$A$2:$D$4,4,0),"")</f>
        <v/>
      </c>
      <c r="K58" s="22"/>
      <c r="L58" s="26" t="str">
        <f>IFERROR(VLOOKUP(K58,'Auxiliar (Foco externo)'!$E$2:$H$4,4,0),"")</f>
        <v/>
      </c>
      <c r="M58" s="22"/>
      <c r="N58" s="26" t="str">
        <f>IFERROR(VLOOKUP(M58,'Auxiliar (Foco externo)'!$I$2:$L$4,4,0),"")</f>
        <v/>
      </c>
      <c r="O58" s="22"/>
      <c r="P58" s="26" t="str">
        <f>IFERROR(VLOOKUP(O58,'Auxiliar (Foco externo)'!$M$2:$P$4,4,0),"")</f>
        <v/>
      </c>
      <c r="Q58" s="22"/>
      <c r="R58" s="26" t="str">
        <f>IFERROR(VLOOKUP(Q58,'Auxiliar (Foco externo)'!$Q$2:$T$4,4,0),"")</f>
        <v/>
      </c>
    </row>
    <row r="59" spans="1:18" x14ac:dyDescent="0.25">
      <c r="A59" s="23"/>
      <c r="B59" s="23"/>
      <c r="C59" s="22"/>
      <c r="D59" s="23"/>
      <c r="E59" s="23">
        <f>COUNTA(A59)</f>
        <v>0</v>
      </c>
      <c r="F59" s="23">
        <f>E59+F58</f>
        <v>20</v>
      </c>
      <c r="G59" s="25" t="str">
        <f>IF(A59="","C",IF(F59&lt;=0.2*$A$1,"A",IF(F59&lt;=0.5*$A$1,"B","C")))</f>
        <v>C</v>
      </c>
      <c r="H59" s="34">
        <f>IFERROR((J59*$J$1)+(L59*$L$1)+(N59*$N$1)+(P59*$P$1)+(R59*$R$1),0)</f>
        <v>0</v>
      </c>
      <c r="I59" s="22"/>
      <c r="J59" s="26" t="str">
        <f>IFERROR(VLOOKUP(I59,'Auxiliar (Foco externo)'!$A$2:$D$4,4,0),"")</f>
        <v/>
      </c>
      <c r="K59" s="22"/>
      <c r="L59" s="26" t="str">
        <f>IFERROR(VLOOKUP(K59,'Auxiliar (Foco externo)'!$E$2:$H$4,4,0),"")</f>
        <v/>
      </c>
      <c r="M59" s="22"/>
      <c r="N59" s="26" t="str">
        <f>IFERROR(VLOOKUP(M59,'Auxiliar (Foco externo)'!$I$2:$L$4,4,0),"")</f>
        <v/>
      </c>
      <c r="O59" s="22"/>
      <c r="P59" s="26" t="str">
        <f>IFERROR(VLOOKUP(O59,'Auxiliar (Foco externo)'!$M$2:$P$4,4,0),"")</f>
        <v/>
      </c>
      <c r="Q59" s="22"/>
      <c r="R59" s="26" t="str">
        <f>IFERROR(VLOOKUP(Q59,'Auxiliar (Foco externo)'!$Q$2:$T$4,4,0),"")</f>
        <v/>
      </c>
    </row>
    <row r="60" spans="1:18" x14ac:dyDescent="0.25">
      <c r="A60" s="23"/>
      <c r="B60" s="23"/>
      <c r="C60" s="22"/>
      <c r="D60" s="23"/>
      <c r="E60" s="23">
        <f>COUNTA(A60)</f>
        <v>0</v>
      </c>
      <c r="F60" s="23">
        <f>E60+F59</f>
        <v>20</v>
      </c>
      <c r="G60" s="25" t="str">
        <f>IF(A60="","C",IF(F60&lt;=0.2*$A$1,"A",IF(F60&lt;=0.5*$A$1,"B","C")))</f>
        <v>C</v>
      </c>
      <c r="H60" s="34">
        <f>IFERROR((J60*$J$1)+(L60*$L$1)+(N60*$N$1)+(P60*$P$1)+(R60*$R$1),0)</f>
        <v>0</v>
      </c>
      <c r="I60" s="22"/>
      <c r="J60" s="26" t="str">
        <f>IFERROR(VLOOKUP(I60,'Auxiliar (Foco externo)'!$A$2:$D$4,4,0),"")</f>
        <v/>
      </c>
      <c r="K60" s="22"/>
      <c r="L60" s="26" t="str">
        <f>IFERROR(VLOOKUP(K60,'Auxiliar (Foco externo)'!$E$2:$H$4,4,0),"")</f>
        <v/>
      </c>
      <c r="M60" s="22"/>
      <c r="N60" s="26" t="str">
        <f>IFERROR(VLOOKUP(M60,'Auxiliar (Foco externo)'!$I$2:$L$4,4,0),"")</f>
        <v/>
      </c>
      <c r="O60" s="22"/>
      <c r="P60" s="26" t="str">
        <f>IFERROR(VLOOKUP(O60,'Auxiliar (Foco externo)'!$M$2:$P$4,4,0),"")</f>
        <v/>
      </c>
      <c r="Q60" s="22"/>
      <c r="R60" s="26" t="str">
        <f>IFERROR(VLOOKUP(Q60,'Auxiliar (Foco externo)'!$Q$2:$T$4,4,0),"")</f>
        <v/>
      </c>
    </row>
    <row r="61" spans="1:18" x14ac:dyDescent="0.25">
      <c r="A61" s="23"/>
      <c r="B61" s="23"/>
      <c r="C61" s="22"/>
      <c r="D61" s="23"/>
      <c r="E61" s="23">
        <f>COUNTA(A61)</f>
        <v>0</v>
      </c>
      <c r="F61" s="23">
        <f>E61+F60</f>
        <v>20</v>
      </c>
      <c r="G61" s="25" t="str">
        <f>IF(A61="","C",IF(F61&lt;=0.2*$A$1,"A",IF(F61&lt;=0.5*$A$1,"B","C")))</f>
        <v>C</v>
      </c>
      <c r="H61" s="34">
        <f>IFERROR((J61*$J$1)+(L61*$L$1)+(N61*$N$1)+(P61*$P$1)+(R61*$R$1),0)</f>
        <v>0</v>
      </c>
      <c r="I61" s="22"/>
      <c r="J61" s="26" t="str">
        <f>IFERROR(VLOOKUP(I61,'Auxiliar (Foco externo)'!$A$2:$D$4,4,0),"")</f>
        <v/>
      </c>
      <c r="K61" s="22"/>
      <c r="L61" s="26" t="str">
        <f>IFERROR(VLOOKUP(K61,'Auxiliar (Foco externo)'!$E$2:$H$4,4,0),"")</f>
        <v/>
      </c>
      <c r="M61" s="22"/>
      <c r="N61" s="26" t="str">
        <f>IFERROR(VLOOKUP(M61,'Auxiliar (Foco externo)'!$I$2:$L$4,4,0),"")</f>
        <v/>
      </c>
      <c r="O61" s="22"/>
      <c r="P61" s="26" t="str">
        <f>IFERROR(VLOOKUP(O61,'Auxiliar (Foco externo)'!$M$2:$P$4,4,0),"")</f>
        <v/>
      </c>
      <c r="Q61" s="22"/>
      <c r="R61" s="26" t="str">
        <f>IFERROR(VLOOKUP(Q61,'Auxiliar (Foco externo)'!$Q$2:$T$4,4,0),"")</f>
        <v/>
      </c>
    </row>
    <row r="62" spans="1:18" x14ac:dyDescent="0.25">
      <c r="A62" s="23"/>
      <c r="B62" s="23"/>
      <c r="C62" s="22"/>
      <c r="D62" s="23"/>
      <c r="E62" s="23">
        <f>COUNTA(A62)</f>
        <v>0</v>
      </c>
      <c r="F62" s="23">
        <f>E62+F61</f>
        <v>20</v>
      </c>
      <c r="G62" s="25" t="str">
        <f>IF(A62="","C",IF(F62&lt;=0.2*$A$1,"A",IF(F62&lt;=0.5*$A$1,"B","C")))</f>
        <v>C</v>
      </c>
      <c r="H62" s="34">
        <f>IFERROR((J62*$J$1)+(L62*$L$1)+(N62*$N$1)+(P62*$P$1)+(R62*$R$1),0)</f>
        <v>0</v>
      </c>
      <c r="I62" s="22"/>
      <c r="J62" s="26" t="str">
        <f>IFERROR(VLOOKUP(I62,'Auxiliar (Foco externo)'!$A$2:$D$4,4,0),"")</f>
        <v/>
      </c>
      <c r="K62" s="22"/>
      <c r="L62" s="26" t="str">
        <f>IFERROR(VLOOKUP(K62,'Auxiliar (Foco externo)'!$E$2:$H$4,4,0),"")</f>
        <v/>
      </c>
      <c r="M62" s="22"/>
      <c r="N62" s="26" t="str">
        <f>IFERROR(VLOOKUP(M62,'Auxiliar (Foco externo)'!$I$2:$L$4,4,0),"")</f>
        <v/>
      </c>
      <c r="O62" s="22"/>
      <c r="P62" s="26" t="str">
        <f>IFERROR(VLOOKUP(O62,'Auxiliar (Foco externo)'!$M$2:$P$4,4,0),"")</f>
        <v/>
      </c>
      <c r="Q62" s="22"/>
      <c r="R62" s="26" t="str">
        <f>IFERROR(VLOOKUP(Q62,'Auxiliar (Foco externo)'!$Q$2:$T$4,4,0),"")</f>
        <v/>
      </c>
    </row>
    <row r="63" spans="1:18" x14ac:dyDescent="0.25">
      <c r="A63" s="23"/>
      <c r="B63" s="23"/>
      <c r="C63" s="22"/>
      <c r="D63" s="23"/>
      <c r="E63" s="23">
        <f>COUNTA(A63)</f>
        <v>0</v>
      </c>
      <c r="F63" s="23">
        <f>E63+F62</f>
        <v>20</v>
      </c>
      <c r="G63" s="25" t="str">
        <f>IF(A63="","C",IF(F63&lt;=0.2*$A$1,"A",IF(F63&lt;=0.5*$A$1,"B","C")))</f>
        <v>C</v>
      </c>
      <c r="H63" s="34">
        <f>IFERROR((J63*$J$1)+(L63*$L$1)+(N63*$N$1)+(P63*$P$1)+(R63*$R$1),0)</f>
        <v>0</v>
      </c>
      <c r="I63" s="22"/>
      <c r="J63" s="26" t="str">
        <f>IFERROR(VLOOKUP(I63,'Auxiliar (Foco externo)'!$A$2:$D$4,4,0),"")</f>
        <v/>
      </c>
      <c r="K63" s="22"/>
      <c r="L63" s="26" t="str">
        <f>IFERROR(VLOOKUP(K63,'Auxiliar (Foco externo)'!$E$2:$H$4,4,0),"")</f>
        <v/>
      </c>
      <c r="M63" s="22"/>
      <c r="N63" s="26" t="str">
        <f>IFERROR(VLOOKUP(M63,'Auxiliar (Foco externo)'!$I$2:$L$4,4,0),"")</f>
        <v/>
      </c>
      <c r="O63" s="22"/>
      <c r="P63" s="26" t="str">
        <f>IFERROR(VLOOKUP(O63,'Auxiliar (Foco externo)'!$M$2:$P$4,4,0),"")</f>
        <v/>
      </c>
      <c r="Q63" s="22"/>
      <c r="R63" s="26" t="str">
        <f>IFERROR(VLOOKUP(Q63,'Auxiliar (Foco externo)'!$Q$2:$T$4,4,0),"")</f>
        <v/>
      </c>
    </row>
    <row r="64" spans="1:18" x14ac:dyDescent="0.25">
      <c r="A64" s="23"/>
      <c r="B64" s="23"/>
      <c r="C64" s="22"/>
      <c r="D64" s="23"/>
      <c r="E64" s="23">
        <f>COUNTA(A64)</f>
        <v>0</v>
      </c>
      <c r="F64" s="23">
        <f>E64+F63</f>
        <v>20</v>
      </c>
      <c r="G64" s="25" t="str">
        <f>IF(A64="","C",IF(F64&lt;=0.2*$A$1,"A",IF(F64&lt;=0.5*$A$1,"B","C")))</f>
        <v>C</v>
      </c>
      <c r="H64" s="34">
        <f>IFERROR((J64*$J$1)+(L64*$L$1)+(N64*$N$1)+(P64*$P$1)+(R64*$R$1),0)</f>
        <v>0</v>
      </c>
      <c r="I64" s="22"/>
      <c r="J64" s="26" t="str">
        <f>IFERROR(VLOOKUP(I64,'Auxiliar (Foco externo)'!$A$2:$D$4,4,0),"")</f>
        <v/>
      </c>
      <c r="K64" s="22"/>
      <c r="L64" s="26" t="str">
        <f>IFERROR(VLOOKUP(K64,'Auxiliar (Foco externo)'!$E$2:$H$4,4,0),"")</f>
        <v/>
      </c>
      <c r="M64" s="22"/>
      <c r="N64" s="26" t="str">
        <f>IFERROR(VLOOKUP(M64,'Auxiliar (Foco externo)'!$I$2:$L$4,4,0),"")</f>
        <v/>
      </c>
      <c r="O64" s="22"/>
      <c r="P64" s="26" t="str">
        <f>IFERROR(VLOOKUP(O64,'Auxiliar (Foco externo)'!$M$2:$P$4,4,0),"")</f>
        <v/>
      </c>
      <c r="Q64" s="22"/>
      <c r="R64" s="26" t="str">
        <f>IFERROR(VLOOKUP(Q64,'Auxiliar (Foco externo)'!$Q$2:$T$4,4,0),"")</f>
        <v/>
      </c>
    </row>
    <row r="65" spans="1:18" x14ac:dyDescent="0.25">
      <c r="A65" s="23"/>
      <c r="B65" s="23"/>
      <c r="C65" s="22"/>
      <c r="D65" s="23"/>
      <c r="E65" s="23">
        <f>COUNTA(A65)</f>
        <v>0</v>
      </c>
      <c r="F65" s="23">
        <f>E65+F64</f>
        <v>20</v>
      </c>
      <c r="G65" s="25" t="str">
        <f>IF(A65="","C",IF(F65&lt;=0.2*$A$1,"A",IF(F65&lt;=0.5*$A$1,"B","C")))</f>
        <v>C</v>
      </c>
      <c r="H65" s="34">
        <f>IFERROR((J65*$J$1)+(L65*$L$1)+(N65*$N$1)+(P65*$P$1)+(R65*$R$1),0)</f>
        <v>0</v>
      </c>
      <c r="I65" s="22"/>
      <c r="J65" s="26" t="str">
        <f>IFERROR(VLOOKUP(I65,'Auxiliar (Foco externo)'!$A$2:$D$4,4,0),"")</f>
        <v/>
      </c>
      <c r="K65" s="22"/>
      <c r="L65" s="26" t="str">
        <f>IFERROR(VLOOKUP(K65,'Auxiliar (Foco externo)'!$E$2:$H$4,4,0),"")</f>
        <v/>
      </c>
      <c r="M65" s="22"/>
      <c r="N65" s="26" t="str">
        <f>IFERROR(VLOOKUP(M65,'Auxiliar (Foco externo)'!$I$2:$L$4,4,0),"")</f>
        <v/>
      </c>
      <c r="O65" s="22"/>
      <c r="P65" s="26" t="str">
        <f>IFERROR(VLOOKUP(O65,'Auxiliar (Foco externo)'!$M$2:$P$4,4,0),"")</f>
        <v/>
      </c>
      <c r="Q65" s="22"/>
      <c r="R65" s="26" t="str">
        <f>IFERROR(VLOOKUP(Q65,'Auxiliar (Foco externo)'!$Q$2:$T$4,4,0),"")</f>
        <v/>
      </c>
    </row>
    <row r="66" spans="1:18" x14ac:dyDescent="0.25">
      <c r="A66" s="23"/>
      <c r="B66" s="23"/>
      <c r="C66" s="22"/>
      <c r="D66" s="23"/>
      <c r="E66" s="23">
        <f>COUNTA(A66)</f>
        <v>0</v>
      </c>
      <c r="F66" s="23">
        <f>E66+F65</f>
        <v>20</v>
      </c>
      <c r="G66" s="25" t="str">
        <f>IF(A66="","C",IF(F66&lt;=0.2*$A$1,"A",IF(F66&lt;=0.5*$A$1,"B","C")))</f>
        <v>C</v>
      </c>
      <c r="H66" s="34">
        <f>IFERROR((J66*$J$1)+(L66*$L$1)+(N66*$N$1)+(P66*$P$1)+(R66*$R$1),0)</f>
        <v>0</v>
      </c>
      <c r="I66" s="22"/>
      <c r="J66" s="26" t="str">
        <f>IFERROR(VLOOKUP(I66,'Auxiliar (Foco externo)'!$A$2:$D$4,4,0),"")</f>
        <v/>
      </c>
      <c r="K66" s="22"/>
      <c r="L66" s="26" t="str">
        <f>IFERROR(VLOOKUP(K66,'Auxiliar (Foco externo)'!$E$2:$H$4,4,0),"")</f>
        <v/>
      </c>
      <c r="M66" s="22"/>
      <c r="N66" s="26" t="str">
        <f>IFERROR(VLOOKUP(M66,'Auxiliar (Foco externo)'!$I$2:$L$4,4,0),"")</f>
        <v/>
      </c>
      <c r="O66" s="22"/>
      <c r="P66" s="26" t="str">
        <f>IFERROR(VLOOKUP(O66,'Auxiliar (Foco externo)'!$M$2:$P$4,4,0),"")</f>
        <v/>
      </c>
      <c r="Q66" s="22"/>
      <c r="R66" s="26" t="str">
        <f>IFERROR(VLOOKUP(Q66,'Auxiliar (Foco externo)'!$Q$2:$T$4,4,0),"")</f>
        <v/>
      </c>
    </row>
    <row r="67" spans="1:18" x14ac:dyDescent="0.25">
      <c r="A67" s="23"/>
      <c r="B67" s="23"/>
      <c r="C67" s="22"/>
      <c r="D67" s="23"/>
      <c r="E67" s="23">
        <f>COUNTA(A67)</f>
        <v>0</v>
      </c>
      <c r="F67" s="23">
        <f>E67+F66</f>
        <v>20</v>
      </c>
      <c r="G67" s="25" t="str">
        <f>IF(A67="","C",IF(F67&lt;=0.2*$A$1,"A",IF(F67&lt;=0.5*$A$1,"B","C")))</f>
        <v>C</v>
      </c>
      <c r="H67" s="34">
        <f>IFERROR((J67*$J$1)+(L67*$L$1)+(N67*$N$1)+(P67*$P$1)+(R67*$R$1),0)</f>
        <v>0</v>
      </c>
      <c r="I67" s="22"/>
      <c r="J67" s="26" t="str">
        <f>IFERROR(VLOOKUP(I67,'Auxiliar (Foco externo)'!$A$2:$D$4,4,0),"")</f>
        <v/>
      </c>
      <c r="K67" s="22"/>
      <c r="L67" s="26" t="str">
        <f>IFERROR(VLOOKUP(K67,'Auxiliar (Foco externo)'!$E$2:$H$4,4,0),"")</f>
        <v/>
      </c>
      <c r="M67" s="22"/>
      <c r="N67" s="26" t="str">
        <f>IFERROR(VLOOKUP(M67,'Auxiliar (Foco externo)'!$I$2:$L$4,4,0),"")</f>
        <v/>
      </c>
      <c r="O67" s="22"/>
      <c r="P67" s="26" t="str">
        <f>IFERROR(VLOOKUP(O67,'Auxiliar (Foco externo)'!$M$2:$P$4,4,0),"")</f>
        <v/>
      </c>
      <c r="Q67" s="22"/>
      <c r="R67" s="26" t="str">
        <f>IFERROR(VLOOKUP(Q67,'Auxiliar (Foco externo)'!$Q$2:$T$4,4,0),"")</f>
        <v/>
      </c>
    </row>
    <row r="68" spans="1:18" x14ac:dyDescent="0.25">
      <c r="A68" s="23"/>
      <c r="B68" s="23"/>
      <c r="C68" s="22"/>
      <c r="D68" s="23"/>
      <c r="E68" s="23">
        <f>COUNTA(A68)</f>
        <v>0</v>
      </c>
      <c r="F68" s="23">
        <f>E68+F67</f>
        <v>20</v>
      </c>
      <c r="G68" s="25" t="str">
        <f>IF(A68="","C",IF(F68&lt;=0.2*$A$1,"A",IF(F68&lt;=0.5*$A$1,"B","C")))</f>
        <v>C</v>
      </c>
      <c r="H68" s="34">
        <f>IFERROR((J68*$J$1)+(L68*$L$1)+(N68*$N$1)+(P68*$P$1)+(R68*$R$1),0)</f>
        <v>0</v>
      </c>
      <c r="I68" s="22"/>
      <c r="J68" s="26" t="str">
        <f>IFERROR(VLOOKUP(I68,'Auxiliar (Foco externo)'!$A$2:$D$4,4,0),"")</f>
        <v/>
      </c>
      <c r="K68" s="22"/>
      <c r="L68" s="26" t="str">
        <f>IFERROR(VLOOKUP(K68,'Auxiliar (Foco externo)'!$E$2:$H$4,4,0),"")</f>
        <v/>
      </c>
      <c r="M68" s="22"/>
      <c r="N68" s="26" t="str">
        <f>IFERROR(VLOOKUP(M68,'Auxiliar (Foco externo)'!$I$2:$L$4,4,0),"")</f>
        <v/>
      </c>
      <c r="O68" s="22"/>
      <c r="P68" s="26" t="str">
        <f>IFERROR(VLOOKUP(O68,'Auxiliar (Foco externo)'!$M$2:$P$4,4,0),"")</f>
        <v/>
      </c>
      <c r="Q68" s="22"/>
      <c r="R68" s="26" t="str">
        <f>IFERROR(VLOOKUP(Q68,'Auxiliar (Foco externo)'!$Q$2:$T$4,4,0),"")</f>
        <v/>
      </c>
    </row>
    <row r="69" spans="1:18" x14ac:dyDescent="0.25">
      <c r="A69" s="23"/>
      <c r="B69" s="23"/>
      <c r="C69" s="22"/>
      <c r="D69" s="23"/>
      <c r="E69" s="23">
        <f>COUNTA(A69)</f>
        <v>0</v>
      </c>
      <c r="F69" s="23">
        <f>E69+F68</f>
        <v>20</v>
      </c>
      <c r="G69" s="25" t="str">
        <f>IF(A69="","C",IF(F69&lt;=0.2*$A$1,"A",IF(F69&lt;=0.5*$A$1,"B","C")))</f>
        <v>C</v>
      </c>
      <c r="H69" s="34">
        <f>IFERROR((J69*$J$1)+(L69*$L$1)+(N69*$N$1)+(P69*$P$1)+(R69*$R$1),0)</f>
        <v>0</v>
      </c>
      <c r="I69" s="22"/>
      <c r="J69" s="26" t="str">
        <f>IFERROR(VLOOKUP(I69,'Auxiliar (Foco externo)'!$A$2:$D$4,4,0),"")</f>
        <v/>
      </c>
      <c r="K69" s="22"/>
      <c r="L69" s="26" t="str">
        <f>IFERROR(VLOOKUP(K69,'Auxiliar (Foco externo)'!$E$2:$H$4,4,0),"")</f>
        <v/>
      </c>
      <c r="M69" s="22"/>
      <c r="N69" s="26" t="str">
        <f>IFERROR(VLOOKUP(M69,'Auxiliar (Foco externo)'!$I$2:$L$4,4,0),"")</f>
        <v/>
      </c>
      <c r="O69" s="22"/>
      <c r="P69" s="26" t="str">
        <f>IFERROR(VLOOKUP(O69,'Auxiliar (Foco externo)'!$M$2:$P$4,4,0),"")</f>
        <v/>
      </c>
      <c r="Q69" s="22"/>
      <c r="R69" s="26" t="str">
        <f>IFERROR(VLOOKUP(Q69,'Auxiliar (Foco externo)'!$Q$2:$T$4,4,0),"")</f>
        <v/>
      </c>
    </row>
    <row r="70" spans="1:18" x14ac:dyDescent="0.25">
      <c r="A70" s="23"/>
      <c r="B70" s="23"/>
      <c r="C70" s="22"/>
      <c r="D70" s="23"/>
      <c r="E70" s="23">
        <f>COUNTA(A70)</f>
        <v>0</v>
      </c>
      <c r="F70" s="23">
        <f>E70+F69</f>
        <v>20</v>
      </c>
      <c r="G70" s="25" t="str">
        <f>IF(A70="","C",IF(F70&lt;=0.2*$A$1,"A",IF(F70&lt;=0.5*$A$1,"B","C")))</f>
        <v>C</v>
      </c>
      <c r="H70" s="34">
        <f>IFERROR((J70*$J$1)+(L70*$L$1)+(N70*$N$1)+(P70*$P$1)+(R70*$R$1),0)</f>
        <v>0</v>
      </c>
      <c r="I70" s="22"/>
      <c r="J70" s="26" t="str">
        <f>IFERROR(VLOOKUP(I70,'Auxiliar (Foco externo)'!$A$2:$D$4,4,0),"")</f>
        <v/>
      </c>
      <c r="K70" s="22"/>
      <c r="L70" s="26" t="str">
        <f>IFERROR(VLOOKUP(K70,'Auxiliar (Foco externo)'!$E$2:$H$4,4,0),"")</f>
        <v/>
      </c>
      <c r="M70" s="22"/>
      <c r="N70" s="26" t="str">
        <f>IFERROR(VLOOKUP(M70,'Auxiliar (Foco externo)'!$I$2:$L$4,4,0),"")</f>
        <v/>
      </c>
      <c r="O70" s="22"/>
      <c r="P70" s="26" t="str">
        <f>IFERROR(VLOOKUP(O70,'Auxiliar (Foco externo)'!$M$2:$P$4,4,0),"")</f>
        <v/>
      </c>
      <c r="Q70" s="22"/>
      <c r="R70" s="26" t="str">
        <f>IFERROR(VLOOKUP(Q70,'Auxiliar (Foco externo)'!$Q$2:$T$4,4,0),"")</f>
        <v/>
      </c>
    </row>
    <row r="71" spans="1:18" x14ac:dyDescent="0.25">
      <c r="A71" s="23"/>
      <c r="B71" s="23"/>
      <c r="C71" s="22"/>
      <c r="D71" s="23"/>
      <c r="E71" s="23">
        <f>COUNTA(A71)</f>
        <v>0</v>
      </c>
      <c r="F71" s="23">
        <f>E71+F70</f>
        <v>20</v>
      </c>
      <c r="G71" s="25" t="str">
        <f>IF(A71="","C",IF(F71&lt;=0.2*$A$1,"A",IF(F71&lt;=0.5*$A$1,"B","C")))</f>
        <v>C</v>
      </c>
      <c r="H71" s="34">
        <f>IFERROR((J71*$J$1)+(L71*$L$1)+(N71*$N$1)+(P71*$P$1)+(R71*$R$1),0)</f>
        <v>0</v>
      </c>
      <c r="I71" s="22"/>
      <c r="J71" s="26" t="str">
        <f>IFERROR(VLOOKUP(I71,'Auxiliar (Foco externo)'!$A$2:$D$4,4,0),"")</f>
        <v/>
      </c>
      <c r="K71" s="22"/>
      <c r="L71" s="26" t="str">
        <f>IFERROR(VLOOKUP(K71,'Auxiliar (Foco externo)'!$E$2:$H$4,4,0),"")</f>
        <v/>
      </c>
      <c r="M71" s="22"/>
      <c r="N71" s="26" t="str">
        <f>IFERROR(VLOOKUP(M71,'Auxiliar (Foco externo)'!$I$2:$L$4,4,0),"")</f>
        <v/>
      </c>
      <c r="O71" s="22"/>
      <c r="P71" s="26" t="str">
        <f>IFERROR(VLOOKUP(O71,'Auxiliar (Foco externo)'!$M$2:$P$4,4,0),"")</f>
        <v/>
      </c>
      <c r="Q71" s="22"/>
      <c r="R71" s="26" t="str">
        <f>IFERROR(VLOOKUP(Q71,'Auxiliar (Foco externo)'!$Q$2:$T$4,4,0),"")</f>
        <v/>
      </c>
    </row>
    <row r="72" spans="1:18" x14ac:dyDescent="0.25">
      <c r="A72" s="23"/>
      <c r="B72" s="23"/>
      <c r="C72" s="22"/>
      <c r="D72" s="23"/>
      <c r="E72" s="23">
        <f>COUNTA(A72)</f>
        <v>0</v>
      </c>
      <c r="F72" s="23">
        <f>E72+F71</f>
        <v>20</v>
      </c>
      <c r="G72" s="25" t="str">
        <f>IF(A72="","C",IF(F72&lt;=0.2*$A$1,"A",IF(F72&lt;=0.5*$A$1,"B","C")))</f>
        <v>C</v>
      </c>
      <c r="H72" s="34">
        <f>IFERROR((J72*$J$1)+(L72*$L$1)+(N72*$N$1)+(P72*$P$1)+(R72*$R$1),0)</f>
        <v>0</v>
      </c>
      <c r="I72" s="22"/>
      <c r="J72" s="26" t="str">
        <f>IFERROR(VLOOKUP(I72,'Auxiliar (Foco externo)'!$A$2:$D$4,4,0),"")</f>
        <v/>
      </c>
      <c r="K72" s="22"/>
      <c r="L72" s="26" t="str">
        <f>IFERROR(VLOOKUP(K72,'Auxiliar (Foco externo)'!$E$2:$H$4,4,0),"")</f>
        <v/>
      </c>
      <c r="M72" s="22"/>
      <c r="N72" s="26" t="str">
        <f>IFERROR(VLOOKUP(M72,'Auxiliar (Foco externo)'!$I$2:$L$4,4,0),"")</f>
        <v/>
      </c>
      <c r="O72" s="22"/>
      <c r="P72" s="26" t="str">
        <f>IFERROR(VLOOKUP(O72,'Auxiliar (Foco externo)'!$M$2:$P$4,4,0),"")</f>
        <v/>
      </c>
      <c r="Q72" s="22"/>
      <c r="R72" s="26" t="str">
        <f>IFERROR(VLOOKUP(Q72,'Auxiliar (Foco externo)'!$Q$2:$T$4,4,0),"")</f>
        <v/>
      </c>
    </row>
    <row r="73" spans="1:18" x14ac:dyDescent="0.25">
      <c r="A73" s="23"/>
      <c r="B73" s="23"/>
      <c r="C73" s="22"/>
      <c r="D73" s="23"/>
      <c r="E73" s="23">
        <f>COUNTA(A73)</f>
        <v>0</v>
      </c>
      <c r="F73" s="23">
        <f>E73+F72</f>
        <v>20</v>
      </c>
      <c r="G73" s="25" t="str">
        <f>IF(A73="","C",IF(F73&lt;=0.2*$A$1,"A",IF(F73&lt;=0.5*$A$1,"B","C")))</f>
        <v>C</v>
      </c>
      <c r="H73" s="34">
        <f>IFERROR((J73*$J$1)+(L73*$L$1)+(N73*$N$1)+(P73*$P$1)+(R73*$R$1),0)</f>
        <v>0</v>
      </c>
      <c r="I73" s="22"/>
      <c r="J73" s="26" t="str">
        <f>IFERROR(VLOOKUP(I73,'Auxiliar (Foco externo)'!$A$2:$D$4,4,0),"")</f>
        <v/>
      </c>
      <c r="K73" s="22"/>
      <c r="L73" s="26" t="str">
        <f>IFERROR(VLOOKUP(K73,'Auxiliar (Foco externo)'!$E$2:$H$4,4,0),"")</f>
        <v/>
      </c>
      <c r="M73" s="22"/>
      <c r="N73" s="26" t="str">
        <f>IFERROR(VLOOKUP(M73,'Auxiliar (Foco externo)'!$I$2:$L$4,4,0),"")</f>
        <v/>
      </c>
      <c r="O73" s="22"/>
      <c r="P73" s="26" t="str">
        <f>IFERROR(VLOOKUP(O73,'Auxiliar (Foco externo)'!$M$2:$P$4,4,0),"")</f>
        <v/>
      </c>
      <c r="Q73" s="22"/>
      <c r="R73" s="26" t="str">
        <f>IFERROR(VLOOKUP(Q73,'Auxiliar (Foco externo)'!$Q$2:$T$4,4,0),"")</f>
        <v/>
      </c>
    </row>
    <row r="74" spans="1:18" x14ac:dyDescent="0.25">
      <c r="A74" s="23"/>
      <c r="B74" s="23"/>
      <c r="C74" s="22"/>
      <c r="D74" s="23"/>
      <c r="E74" s="23">
        <f>COUNTA(A74)</f>
        <v>0</v>
      </c>
      <c r="F74" s="23">
        <f>E74+F73</f>
        <v>20</v>
      </c>
      <c r="G74" s="25" t="str">
        <f>IF(A74="","C",IF(F74&lt;=0.2*$A$1,"A",IF(F74&lt;=0.5*$A$1,"B","C")))</f>
        <v>C</v>
      </c>
      <c r="H74" s="34">
        <f>IFERROR((J74*$J$1)+(L74*$L$1)+(N74*$N$1)+(P74*$P$1)+(R74*$R$1),0)</f>
        <v>0</v>
      </c>
      <c r="I74" s="22"/>
      <c r="J74" s="26" t="str">
        <f>IFERROR(VLOOKUP(I74,'Auxiliar (Foco externo)'!$A$2:$D$4,4,0),"")</f>
        <v/>
      </c>
      <c r="K74" s="22"/>
      <c r="L74" s="26" t="str">
        <f>IFERROR(VLOOKUP(K74,'Auxiliar (Foco externo)'!$E$2:$H$4,4,0),"")</f>
        <v/>
      </c>
      <c r="M74" s="22"/>
      <c r="N74" s="26" t="str">
        <f>IFERROR(VLOOKUP(M74,'Auxiliar (Foco externo)'!$I$2:$L$4,4,0),"")</f>
        <v/>
      </c>
      <c r="O74" s="22"/>
      <c r="P74" s="26" t="str">
        <f>IFERROR(VLOOKUP(O74,'Auxiliar (Foco externo)'!$M$2:$P$4,4,0),"")</f>
        <v/>
      </c>
      <c r="Q74" s="22"/>
      <c r="R74" s="26" t="str">
        <f>IFERROR(VLOOKUP(Q74,'Auxiliar (Foco externo)'!$Q$2:$T$4,4,0),"")</f>
        <v/>
      </c>
    </row>
    <row r="75" spans="1:18" x14ac:dyDescent="0.25">
      <c r="A75" s="23"/>
      <c r="B75" s="23"/>
      <c r="C75" s="22"/>
      <c r="D75" s="23"/>
      <c r="E75" s="23">
        <f>COUNTA(A75)</f>
        <v>0</v>
      </c>
      <c r="F75" s="23">
        <f>E75+F74</f>
        <v>20</v>
      </c>
      <c r="G75" s="25" t="str">
        <f>IF(A75="","C",IF(F75&lt;=0.2*$A$1,"A",IF(F75&lt;=0.5*$A$1,"B","C")))</f>
        <v>C</v>
      </c>
      <c r="H75" s="34">
        <f>IFERROR((J75*$J$1)+(L75*$L$1)+(N75*$N$1)+(P75*$P$1)+(R75*$R$1),0)</f>
        <v>0</v>
      </c>
      <c r="I75" s="22"/>
      <c r="J75" s="26" t="str">
        <f>IFERROR(VLOOKUP(I75,'Auxiliar (Foco externo)'!$A$2:$D$4,4,0),"")</f>
        <v/>
      </c>
      <c r="K75" s="22"/>
      <c r="L75" s="26" t="str">
        <f>IFERROR(VLOOKUP(K75,'Auxiliar (Foco externo)'!$E$2:$H$4,4,0),"")</f>
        <v/>
      </c>
      <c r="M75" s="22"/>
      <c r="N75" s="26" t="str">
        <f>IFERROR(VLOOKUP(M75,'Auxiliar (Foco externo)'!$I$2:$L$4,4,0),"")</f>
        <v/>
      </c>
      <c r="O75" s="22"/>
      <c r="P75" s="26" t="str">
        <f>IFERROR(VLOOKUP(O75,'Auxiliar (Foco externo)'!$M$2:$P$4,4,0),"")</f>
        <v/>
      </c>
      <c r="Q75" s="22"/>
      <c r="R75" s="26" t="str">
        <f>IFERROR(VLOOKUP(Q75,'Auxiliar (Foco externo)'!$Q$2:$T$4,4,0),"")</f>
        <v/>
      </c>
    </row>
    <row r="76" spans="1:18" x14ac:dyDescent="0.25">
      <c r="A76" s="23"/>
      <c r="B76" s="23"/>
      <c r="C76" s="22"/>
      <c r="D76" s="23"/>
      <c r="E76" s="23">
        <f>COUNTA(A76)</f>
        <v>0</v>
      </c>
      <c r="F76" s="23">
        <f>E76+F75</f>
        <v>20</v>
      </c>
      <c r="G76" s="25" t="str">
        <f>IF(A76="","C",IF(F76&lt;=0.2*$A$1,"A",IF(F76&lt;=0.5*$A$1,"B","C")))</f>
        <v>C</v>
      </c>
      <c r="H76" s="34">
        <f>IFERROR((J76*$J$1)+(L76*$L$1)+(N76*$N$1)+(P76*$P$1)+(R76*$R$1),0)</f>
        <v>0</v>
      </c>
      <c r="I76" s="22"/>
      <c r="J76" s="26" t="str">
        <f>IFERROR(VLOOKUP(I76,'Auxiliar (Foco externo)'!$A$2:$D$4,4,0),"")</f>
        <v/>
      </c>
      <c r="K76" s="22"/>
      <c r="L76" s="26" t="str">
        <f>IFERROR(VLOOKUP(K76,'Auxiliar (Foco externo)'!$E$2:$H$4,4,0),"")</f>
        <v/>
      </c>
      <c r="M76" s="22"/>
      <c r="N76" s="26" t="str">
        <f>IFERROR(VLOOKUP(M76,'Auxiliar (Foco externo)'!$I$2:$L$4,4,0),"")</f>
        <v/>
      </c>
      <c r="O76" s="22"/>
      <c r="P76" s="26" t="str">
        <f>IFERROR(VLOOKUP(O76,'Auxiliar (Foco externo)'!$M$2:$P$4,4,0),"")</f>
        <v/>
      </c>
      <c r="Q76" s="22"/>
      <c r="R76" s="26" t="str">
        <f>IFERROR(VLOOKUP(Q76,'Auxiliar (Foco externo)'!$Q$2:$T$4,4,0),"")</f>
        <v/>
      </c>
    </row>
    <row r="77" spans="1:18" x14ac:dyDescent="0.25">
      <c r="A77" s="23"/>
      <c r="B77" s="23"/>
      <c r="C77" s="22"/>
      <c r="D77" s="23"/>
      <c r="E77" s="23">
        <f>COUNTA(A77)</f>
        <v>0</v>
      </c>
      <c r="F77" s="23">
        <f>E77+F76</f>
        <v>20</v>
      </c>
      <c r="G77" s="25" t="str">
        <f>IF(A77="","C",IF(F77&lt;=0.2*$A$1,"A",IF(F77&lt;=0.5*$A$1,"B","C")))</f>
        <v>C</v>
      </c>
      <c r="H77" s="34">
        <f>IFERROR((J77*$J$1)+(L77*$L$1)+(N77*$N$1)+(P77*$P$1)+(R77*$R$1),0)</f>
        <v>0</v>
      </c>
      <c r="I77" s="22"/>
      <c r="J77" s="26" t="str">
        <f>IFERROR(VLOOKUP(I77,'Auxiliar (Foco externo)'!$A$2:$D$4,4,0),"")</f>
        <v/>
      </c>
      <c r="K77" s="22"/>
      <c r="L77" s="26" t="str">
        <f>IFERROR(VLOOKUP(K77,'Auxiliar (Foco externo)'!$E$2:$H$4,4,0),"")</f>
        <v/>
      </c>
      <c r="M77" s="22"/>
      <c r="N77" s="26" t="str">
        <f>IFERROR(VLOOKUP(M77,'Auxiliar (Foco externo)'!$I$2:$L$4,4,0),"")</f>
        <v/>
      </c>
      <c r="O77" s="22"/>
      <c r="P77" s="26" t="str">
        <f>IFERROR(VLOOKUP(O77,'Auxiliar (Foco externo)'!$M$2:$P$4,4,0),"")</f>
        <v/>
      </c>
      <c r="Q77" s="22"/>
      <c r="R77" s="26" t="str">
        <f>IFERROR(VLOOKUP(Q77,'Auxiliar (Foco externo)'!$Q$2:$T$4,4,0),"")</f>
        <v/>
      </c>
    </row>
    <row r="78" spans="1:18" x14ac:dyDescent="0.25">
      <c r="A78" s="23"/>
      <c r="B78" s="23"/>
      <c r="C78" s="22"/>
      <c r="D78" s="23"/>
      <c r="E78" s="23">
        <f>COUNTA(A78)</f>
        <v>0</v>
      </c>
      <c r="F78" s="23">
        <f>E78+F77</f>
        <v>20</v>
      </c>
      <c r="G78" s="25" t="str">
        <f>IF(A78="","C",IF(F78&lt;=0.2*$A$1,"A",IF(F78&lt;=0.5*$A$1,"B","C")))</f>
        <v>C</v>
      </c>
      <c r="H78" s="34">
        <f>IFERROR((J78*$J$1)+(L78*$L$1)+(N78*$N$1)+(P78*$P$1)+(R78*$R$1),0)</f>
        <v>0</v>
      </c>
      <c r="I78" s="22"/>
      <c r="J78" s="26" t="str">
        <f>IFERROR(VLOOKUP(I78,'Auxiliar (Foco externo)'!$A$2:$D$4,4,0),"")</f>
        <v/>
      </c>
      <c r="K78" s="22"/>
      <c r="L78" s="26" t="str">
        <f>IFERROR(VLOOKUP(K78,'Auxiliar (Foco externo)'!$E$2:$H$4,4,0),"")</f>
        <v/>
      </c>
      <c r="M78" s="22"/>
      <c r="N78" s="26" t="str">
        <f>IFERROR(VLOOKUP(M78,'Auxiliar (Foco externo)'!$I$2:$L$4,4,0),"")</f>
        <v/>
      </c>
      <c r="O78" s="22"/>
      <c r="P78" s="26" t="str">
        <f>IFERROR(VLOOKUP(O78,'Auxiliar (Foco externo)'!$M$2:$P$4,4,0),"")</f>
        <v/>
      </c>
      <c r="Q78" s="22"/>
      <c r="R78" s="26" t="str">
        <f>IFERROR(VLOOKUP(Q78,'Auxiliar (Foco externo)'!$Q$2:$T$4,4,0),"")</f>
        <v/>
      </c>
    </row>
    <row r="79" spans="1:18" x14ac:dyDescent="0.25">
      <c r="A79" s="23"/>
      <c r="B79" s="23"/>
      <c r="C79" s="22"/>
      <c r="D79" s="23"/>
      <c r="E79" s="23">
        <f>COUNTA(A79)</f>
        <v>0</v>
      </c>
      <c r="F79" s="23">
        <f>E79+F78</f>
        <v>20</v>
      </c>
      <c r="G79" s="25" t="str">
        <f>IF(A79="","C",IF(F79&lt;=0.2*$A$1,"A",IF(F79&lt;=0.5*$A$1,"B","C")))</f>
        <v>C</v>
      </c>
      <c r="H79" s="34">
        <f>IFERROR((J79*$J$1)+(L79*$L$1)+(N79*$N$1)+(P79*$P$1)+(R79*$R$1),0)</f>
        <v>0</v>
      </c>
      <c r="I79" s="22"/>
      <c r="J79" s="26" t="str">
        <f>IFERROR(VLOOKUP(I79,'Auxiliar (Foco externo)'!$A$2:$D$4,4,0),"")</f>
        <v/>
      </c>
      <c r="K79" s="22"/>
      <c r="L79" s="26" t="str">
        <f>IFERROR(VLOOKUP(K79,'Auxiliar (Foco externo)'!$E$2:$H$4,4,0),"")</f>
        <v/>
      </c>
      <c r="M79" s="22"/>
      <c r="N79" s="26" t="str">
        <f>IFERROR(VLOOKUP(M79,'Auxiliar (Foco externo)'!$I$2:$L$4,4,0),"")</f>
        <v/>
      </c>
      <c r="O79" s="22"/>
      <c r="P79" s="26" t="str">
        <f>IFERROR(VLOOKUP(O79,'Auxiliar (Foco externo)'!$M$2:$P$4,4,0),"")</f>
        <v/>
      </c>
      <c r="Q79" s="22"/>
      <c r="R79" s="26" t="str">
        <f>IFERROR(VLOOKUP(Q79,'Auxiliar (Foco externo)'!$Q$2:$T$4,4,0),"")</f>
        <v/>
      </c>
    </row>
    <row r="80" spans="1:18" x14ac:dyDescent="0.25">
      <c r="A80" s="23"/>
      <c r="B80" s="23"/>
      <c r="C80" s="22"/>
      <c r="D80" s="23"/>
      <c r="E80" s="23">
        <f>COUNTA(A80)</f>
        <v>0</v>
      </c>
      <c r="F80" s="23">
        <f>E80+F79</f>
        <v>20</v>
      </c>
      <c r="G80" s="25" t="str">
        <f>IF(A80="","C",IF(F80&lt;=0.2*$A$1,"A",IF(F80&lt;=0.5*$A$1,"B","C")))</f>
        <v>C</v>
      </c>
      <c r="H80" s="34">
        <f>IFERROR((J80*$J$1)+(L80*$L$1)+(N80*$N$1)+(P80*$P$1)+(R80*$R$1),0)</f>
        <v>0</v>
      </c>
      <c r="I80" s="22"/>
      <c r="J80" s="26" t="str">
        <f>IFERROR(VLOOKUP(I80,'Auxiliar (Foco externo)'!$A$2:$D$4,4,0),"")</f>
        <v/>
      </c>
      <c r="K80" s="22"/>
      <c r="L80" s="26" t="str">
        <f>IFERROR(VLOOKUP(K80,'Auxiliar (Foco externo)'!$E$2:$H$4,4,0),"")</f>
        <v/>
      </c>
      <c r="M80" s="22"/>
      <c r="N80" s="26" t="str">
        <f>IFERROR(VLOOKUP(M80,'Auxiliar (Foco externo)'!$I$2:$L$4,4,0),"")</f>
        <v/>
      </c>
      <c r="O80" s="22"/>
      <c r="P80" s="26" t="str">
        <f>IFERROR(VLOOKUP(O80,'Auxiliar (Foco externo)'!$M$2:$P$4,4,0),"")</f>
        <v/>
      </c>
      <c r="Q80" s="22"/>
      <c r="R80" s="26" t="str">
        <f>IFERROR(VLOOKUP(Q80,'Auxiliar (Foco externo)'!$Q$2:$T$4,4,0),"")</f>
        <v/>
      </c>
    </row>
    <row r="81" spans="1:18" x14ac:dyDescent="0.25">
      <c r="A81" s="23"/>
      <c r="B81" s="23"/>
      <c r="C81" s="22"/>
      <c r="D81" s="23"/>
      <c r="E81" s="23">
        <f>COUNTA(A81)</f>
        <v>0</v>
      </c>
      <c r="F81" s="23">
        <f>E81+F80</f>
        <v>20</v>
      </c>
      <c r="G81" s="25" t="str">
        <f>IF(A81="","C",IF(F81&lt;=0.2*$A$1,"A",IF(F81&lt;=0.5*$A$1,"B","C")))</f>
        <v>C</v>
      </c>
      <c r="H81" s="34">
        <f>IFERROR((J81*$J$1)+(L81*$L$1)+(N81*$N$1)+(P81*$P$1)+(R81*$R$1),0)</f>
        <v>0</v>
      </c>
      <c r="I81" s="22"/>
      <c r="J81" s="26" t="str">
        <f>IFERROR(VLOOKUP(I81,'Auxiliar (Foco externo)'!$A$2:$D$4,4,0),"")</f>
        <v/>
      </c>
      <c r="K81" s="22"/>
      <c r="L81" s="26" t="str">
        <f>IFERROR(VLOOKUP(K81,'Auxiliar (Foco externo)'!$E$2:$H$4,4,0),"")</f>
        <v/>
      </c>
      <c r="M81" s="22"/>
      <c r="N81" s="26" t="str">
        <f>IFERROR(VLOOKUP(M81,'Auxiliar (Foco externo)'!$I$2:$L$4,4,0),"")</f>
        <v/>
      </c>
      <c r="O81" s="22"/>
      <c r="P81" s="26" t="str">
        <f>IFERROR(VLOOKUP(O81,'Auxiliar (Foco externo)'!$M$2:$P$4,4,0),"")</f>
        <v/>
      </c>
      <c r="Q81" s="22"/>
      <c r="R81" s="26" t="str">
        <f>IFERROR(VLOOKUP(Q81,'Auxiliar (Foco externo)'!$Q$2:$T$4,4,0),"")</f>
        <v/>
      </c>
    </row>
    <row r="82" spans="1:18" x14ac:dyDescent="0.25">
      <c r="A82" s="23"/>
      <c r="B82" s="23"/>
      <c r="C82" s="22"/>
      <c r="D82" s="23"/>
      <c r="E82" s="23">
        <f>COUNTA(A82)</f>
        <v>0</v>
      </c>
      <c r="F82" s="23">
        <f>E82+F81</f>
        <v>20</v>
      </c>
      <c r="G82" s="25" t="str">
        <f>IF(A82="","C",IF(F82&lt;=0.2*$A$1,"A",IF(F82&lt;=0.5*$A$1,"B","C")))</f>
        <v>C</v>
      </c>
      <c r="H82" s="34">
        <f>IFERROR((J82*$J$1)+(L82*$L$1)+(N82*$N$1)+(P82*$P$1)+(R82*$R$1),0)</f>
        <v>0</v>
      </c>
      <c r="I82" s="22"/>
      <c r="J82" s="26" t="str">
        <f>IFERROR(VLOOKUP(I82,'Auxiliar (Foco externo)'!$A$2:$D$4,4,0),"")</f>
        <v/>
      </c>
      <c r="K82" s="22"/>
      <c r="L82" s="26" t="str">
        <f>IFERROR(VLOOKUP(K82,'Auxiliar (Foco externo)'!$E$2:$H$4,4,0),"")</f>
        <v/>
      </c>
      <c r="M82" s="22"/>
      <c r="N82" s="26" t="str">
        <f>IFERROR(VLOOKUP(M82,'Auxiliar (Foco externo)'!$I$2:$L$4,4,0),"")</f>
        <v/>
      </c>
      <c r="O82" s="22"/>
      <c r="P82" s="26" t="str">
        <f>IFERROR(VLOOKUP(O82,'Auxiliar (Foco externo)'!$M$2:$P$4,4,0),"")</f>
        <v/>
      </c>
      <c r="Q82" s="22"/>
      <c r="R82" s="26" t="str">
        <f>IFERROR(VLOOKUP(Q82,'Auxiliar (Foco externo)'!$Q$2:$T$4,4,0),"")</f>
        <v/>
      </c>
    </row>
    <row r="83" spans="1:18" x14ac:dyDescent="0.25">
      <c r="A83" s="23"/>
      <c r="B83" s="23"/>
      <c r="C83" s="22"/>
      <c r="D83" s="23"/>
      <c r="E83" s="23">
        <f>COUNTA(A83)</f>
        <v>0</v>
      </c>
      <c r="F83" s="23">
        <f>E83+F82</f>
        <v>20</v>
      </c>
      <c r="G83" s="25" t="str">
        <f>IF(A83="","C",IF(F83&lt;=0.2*$A$1,"A",IF(F83&lt;=0.5*$A$1,"B","C")))</f>
        <v>C</v>
      </c>
      <c r="H83" s="34">
        <f>IFERROR((J83*$J$1)+(L83*$L$1)+(N83*$N$1)+(P83*$P$1)+(R83*$R$1),0)</f>
        <v>0</v>
      </c>
      <c r="I83" s="22"/>
      <c r="J83" s="26" t="str">
        <f>IFERROR(VLOOKUP(I83,'Auxiliar (Foco externo)'!$A$2:$D$4,4,0),"")</f>
        <v/>
      </c>
      <c r="K83" s="22"/>
      <c r="L83" s="26" t="str">
        <f>IFERROR(VLOOKUP(K83,'Auxiliar (Foco externo)'!$E$2:$H$4,4,0),"")</f>
        <v/>
      </c>
      <c r="M83" s="22"/>
      <c r="N83" s="26" t="str">
        <f>IFERROR(VLOOKUP(M83,'Auxiliar (Foco externo)'!$I$2:$L$4,4,0),"")</f>
        <v/>
      </c>
      <c r="O83" s="22"/>
      <c r="P83" s="26" t="str">
        <f>IFERROR(VLOOKUP(O83,'Auxiliar (Foco externo)'!$M$2:$P$4,4,0),"")</f>
        <v/>
      </c>
      <c r="Q83" s="22"/>
      <c r="R83" s="26" t="str">
        <f>IFERROR(VLOOKUP(Q83,'Auxiliar (Foco externo)'!$Q$2:$T$4,4,0),"")</f>
        <v/>
      </c>
    </row>
    <row r="84" spans="1:18" x14ac:dyDescent="0.25">
      <c r="A84" s="23"/>
      <c r="B84" s="23"/>
      <c r="C84" s="22"/>
      <c r="D84" s="23"/>
      <c r="E84" s="23">
        <f>COUNTA(A84)</f>
        <v>0</v>
      </c>
      <c r="F84" s="23">
        <f>E84+F83</f>
        <v>20</v>
      </c>
      <c r="G84" s="25" t="str">
        <f>IF(A84="","C",IF(F84&lt;=0.2*$A$1,"A",IF(F84&lt;=0.5*$A$1,"B","C")))</f>
        <v>C</v>
      </c>
      <c r="H84" s="34">
        <f>IFERROR((J84*$J$1)+(L84*$L$1)+(N84*$N$1)+(P84*$P$1)+(R84*$R$1),0)</f>
        <v>0</v>
      </c>
      <c r="I84" s="22"/>
      <c r="J84" s="26" t="str">
        <f>IFERROR(VLOOKUP(I84,'Auxiliar (Foco externo)'!$A$2:$D$4,4,0),"")</f>
        <v/>
      </c>
      <c r="K84" s="22"/>
      <c r="L84" s="26" t="str">
        <f>IFERROR(VLOOKUP(K84,'Auxiliar (Foco externo)'!$E$2:$H$4,4,0),"")</f>
        <v/>
      </c>
      <c r="M84" s="22"/>
      <c r="N84" s="26" t="str">
        <f>IFERROR(VLOOKUP(M84,'Auxiliar (Foco externo)'!$I$2:$L$4,4,0),"")</f>
        <v/>
      </c>
      <c r="O84" s="22"/>
      <c r="P84" s="26" t="str">
        <f>IFERROR(VLOOKUP(O84,'Auxiliar (Foco externo)'!$M$2:$P$4,4,0),"")</f>
        <v/>
      </c>
      <c r="Q84" s="22"/>
      <c r="R84" s="26" t="str">
        <f>IFERROR(VLOOKUP(Q84,'Auxiliar (Foco externo)'!$Q$2:$T$4,4,0),"")</f>
        <v/>
      </c>
    </row>
    <row r="85" spans="1:18" x14ac:dyDescent="0.25">
      <c r="A85" s="23"/>
      <c r="B85" s="23"/>
      <c r="C85" s="22"/>
      <c r="D85" s="23"/>
      <c r="E85" s="23">
        <f>COUNTA(A85)</f>
        <v>0</v>
      </c>
      <c r="F85" s="23">
        <f>E85+F84</f>
        <v>20</v>
      </c>
      <c r="G85" s="25" t="str">
        <f>IF(A85="","C",IF(F85&lt;=0.2*$A$1,"A",IF(F85&lt;=0.5*$A$1,"B","C")))</f>
        <v>C</v>
      </c>
      <c r="H85" s="34">
        <f>IFERROR((J85*$J$1)+(L85*$L$1)+(N85*$N$1)+(P85*$P$1)+(R85*$R$1),0)</f>
        <v>0</v>
      </c>
      <c r="I85" s="22"/>
      <c r="J85" s="26" t="str">
        <f>IFERROR(VLOOKUP(I85,'Auxiliar (Foco externo)'!$A$2:$D$4,4,0),"")</f>
        <v/>
      </c>
      <c r="K85" s="22"/>
      <c r="L85" s="26" t="str">
        <f>IFERROR(VLOOKUP(K85,'Auxiliar (Foco externo)'!$E$2:$H$4,4,0),"")</f>
        <v/>
      </c>
      <c r="M85" s="22"/>
      <c r="N85" s="26" t="str">
        <f>IFERROR(VLOOKUP(M85,'Auxiliar (Foco externo)'!$I$2:$L$4,4,0),"")</f>
        <v/>
      </c>
      <c r="O85" s="22"/>
      <c r="P85" s="26" t="str">
        <f>IFERROR(VLOOKUP(O85,'Auxiliar (Foco externo)'!$M$2:$P$4,4,0),"")</f>
        <v/>
      </c>
      <c r="Q85" s="22"/>
      <c r="R85" s="26" t="str">
        <f>IFERROR(VLOOKUP(Q85,'Auxiliar (Foco externo)'!$Q$2:$T$4,4,0),"")</f>
        <v/>
      </c>
    </row>
    <row r="86" spans="1:18" x14ac:dyDescent="0.25">
      <c r="A86" s="23"/>
      <c r="B86" s="23"/>
      <c r="C86" s="22"/>
      <c r="D86" s="23"/>
      <c r="E86" s="23">
        <f>COUNTA(A86)</f>
        <v>0</v>
      </c>
      <c r="F86" s="23">
        <f>E86+F85</f>
        <v>20</v>
      </c>
      <c r="G86" s="25" t="str">
        <f>IF(A86="","C",IF(F86&lt;=0.2*$A$1,"A",IF(F86&lt;=0.5*$A$1,"B","C")))</f>
        <v>C</v>
      </c>
      <c r="H86" s="34">
        <f>IFERROR((J86*$J$1)+(L86*$L$1)+(N86*$N$1)+(P86*$P$1)+(R86*$R$1),0)</f>
        <v>0</v>
      </c>
      <c r="I86" s="22"/>
      <c r="J86" s="26" t="str">
        <f>IFERROR(VLOOKUP(I86,'Auxiliar (Foco externo)'!$A$2:$D$4,4,0),"")</f>
        <v/>
      </c>
      <c r="K86" s="22"/>
      <c r="L86" s="26" t="str">
        <f>IFERROR(VLOOKUP(K86,'Auxiliar (Foco externo)'!$E$2:$H$4,4,0),"")</f>
        <v/>
      </c>
      <c r="M86" s="22"/>
      <c r="N86" s="26" t="str">
        <f>IFERROR(VLOOKUP(M86,'Auxiliar (Foco externo)'!$I$2:$L$4,4,0),"")</f>
        <v/>
      </c>
      <c r="O86" s="22"/>
      <c r="P86" s="26" t="str">
        <f>IFERROR(VLOOKUP(O86,'Auxiliar (Foco externo)'!$M$2:$P$4,4,0),"")</f>
        <v/>
      </c>
      <c r="Q86" s="22"/>
      <c r="R86" s="26" t="str">
        <f>IFERROR(VLOOKUP(Q86,'Auxiliar (Foco externo)'!$Q$2:$T$4,4,0),"")</f>
        <v/>
      </c>
    </row>
    <row r="87" spans="1:18" x14ac:dyDescent="0.25">
      <c r="A87" s="23"/>
      <c r="B87" s="23"/>
      <c r="C87" s="22"/>
      <c r="D87" s="23"/>
      <c r="E87" s="23">
        <f>COUNTA(A87)</f>
        <v>0</v>
      </c>
      <c r="F87" s="23">
        <f>E87+F86</f>
        <v>20</v>
      </c>
      <c r="G87" s="25" t="str">
        <f>IF(A87="","C",IF(F87&lt;=0.2*$A$1,"A",IF(F87&lt;=0.5*$A$1,"B","C")))</f>
        <v>C</v>
      </c>
      <c r="H87" s="34">
        <f>IFERROR((J87*$J$1)+(L87*$L$1)+(N87*$N$1)+(P87*$P$1)+(R87*$R$1),0)</f>
        <v>0</v>
      </c>
      <c r="I87" s="22"/>
      <c r="J87" s="26" t="str">
        <f>IFERROR(VLOOKUP(I87,'Auxiliar (Foco externo)'!$A$2:$D$4,4,0),"")</f>
        <v/>
      </c>
      <c r="K87" s="22"/>
      <c r="L87" s="26" t="str">
        <f>IFERROR(VLOOKUP(K87,'Auxiliar (Foco externo)'!$E$2:$H$4,4,0),"")</f>
        <v/>
      </c>
      <c r="M87" s="22"/>
      <c r="N87" s="26" t="str">
        <f>IFERROR(VLOOKUP(M87,'Auxiliar (Foco externo)'!$I$2:$L$4,4,0),"")</f>
        <v/>
      </c>
      <c r="O87" s="22"/>
      <c r="P87" s="26" t="str">
        <f>IFERROR(VLOOKUP(O87,'Auxiliar (Foco externo)'!$M$2:$P$4,4,0),"")</f>
        <v/>
      </c>
      <c r="Q87" s="22"/>
      <c r="R87" s="26" t="str">
        <f>IFERROR(VLOOKUP(Q87,'Auxiliar (Foco externo)'!$Q$2:$T$4,4,0),"")</f>
        <v/>
      </c>
    </row>
    <row r="88" spans="1:18" x14ac:dyDescent="0.25">
      <c r="A88" s="23"/>
      <c r="B88" s="23"/>
      <c r="C88" s="22"/>
      <c r="D88" s="23"/>
      <c r="E88" s="23">
        <f>COUNTA(A88)</f>
        <v>0</v>
      </c>
      <c r="F88" s="23">
        <f>E88+F87</f>
        <v>20</v>
      </c>
      <c r="G88" s="25" t="str">
        <f>IF(A88="","C",IF(F88&lt;=0.2*$A$1,"A",IF(F88&lt;=0.5*$A$1,"B","C")))</f>
        <v>C</v>
      </c>
      <c r="H88" s="34">
        <f>IFERROR((J88*$J$1)+(L88*$L$1)+(N88*$N$1)+(P88*$P$1)+(R88*$R$1),0)</f>
        <v>0</v>
      </c>
      <c r="I88" s="22"/>
      <c r="J88" s="26" t="str">
        <f>IFERROR(VLOOKUP(I88,'Auxiliar (Foco externo)'!$A$2:$D$4,4,0),"")</f>
        <v/>
      </c>
      <c r="K88" s="22"/>
      <c r="L88" s="26" t="str">
        <f>IFERROR(VLOOKUP(K88,'Auxiliar (Foco externo)'!$E$2:$H$4,4,0),"")</f>
        <v/>
      </c>
      <c r="M88" s="22"/>
      <c r="N88" s="26" t="str">
        <f>IFERROR(VLOOKUP(M88,'Auxiliar (Foco externo)'!$I$2:$L$4,4,0),"")</f>
        <v/>
      </c>
      <c r="O88" s="22"/>
      <c r="P88" s="26" t="str">
        <f>IFERROR(VLOOKUP(O88,'Auxiliar (Foco externo)'!$M$2:$P$4,4,0),"")</f>
        <v/>
      </c>
      <c r="Q88" s="22"/>
      <c r="R88" s="26" t="str">
        <f>IFERROR(VLOOKUP(Q88,'Auxiliar (Foco externo)'!$Q$2:$T$4,4,0),"")</f>
        <v/>
      </c>
    </row>
    <row r="89" spans="1:18" x14ac:dyDescent="0.25">
      <c r="A89" s="23"/>
      <c r="B89" s="23"/>
      <c r="C89" s="22"/>
      <c r="D89" s="23"/>
      <c r="E89" s="23">
        <f>COUNTA(A89)</f>
        <v>0</v>
      </c>
      <c r="F89" s="23">
        <f>E89+F88</f>
        <v>20</v>
      </c>
      <c r="G89" s="25" t="str">
        <f>IF(A89="","C",IF(F89&lt;=0.2*$A$1,"A",IF(F89&lt;=0.5*$A$1,"B","C")))</f>
        <v>C</v>
      </c>
      <c r="H89" s="34">
        <f>IFERROR((J89*$J$1)+(L89*$L$1)+(N89*$N$1)+(P89*$P$1)+(R89*$R$1),0)</f>
        <v>0</v>
      </c>
      <c r="I89" s="22"/>
      <c r="J89" s="26" t="str">
        <f>IFERROR(VLOOKUP(I89,'Auxiliar (Foco externo)'!$A$2:$D$4,4,0),"")</f>
        <v/>
      </c>
      <c r="K89" s="22"/>
      <c r="L89" s="26" t="str">
        <f>IFERROR(VLOOKUP(K89,'Auxiliar (Foco externo)'!$E$2:$H$4,4,0),"")</f>
        <v/>
      </c>
      <c r="M89" s="22"/>
      <c r="N89" s="26" t="str">
        <f>IFERROR(VLOOKUP(M89,'Auxiliar (Foco externo)'!$I$2:$L$4,4,0),"")</f>
        <v/>
      </c>
      <c r="O89" s="22"/>
      <c r="P89" s="26" t="str">
        <f>IFERROR(VLOOKUP(O89,'Auxiliar (Foco externo)'!$M$2:$P$4,4,0),"")</f>
        <v/>
      </c>
      <c r="Q89" s="22"/>
      <c r="R89" s="26" t="str">
        <f>IFERROR(VLOOKUP(Q89,'Auxiliar (Foco externo)'!$Q$2:$T$4,4,0),"")</f>
        <v/>
      </c>
    </row>
    <row r="90" spans="1:18" x14ac:dyDescent="0.25">
      <c r="A90" s="23"/>
      <c r="B90" s="23"/>
      <c r="C90" s="22"/>
      <c r="D90" s="23"/>
      <c r="E90" s="23">
        <f>COUNTA(A90)</f>
        <v>0</v>
      </c>
      <c r="F90" s="23">
        <f>E90+F89</f>
        <v>20</v>
      </c>
      <c r="G90" s="25" t="str">
        <f>IF(A90="","C",IF(F90&lt;=0.2*$A$1,"A",IF(F90&lt;=0.5*$A$1,"B","C")))</f>
        <v>C</v>
      </c>
      <c r="H90" s="34">
        <f>IFERROR((J90*$J$1)+(L90*$L$1)+(N90*$N$1)+(P90*$P$1)+(R90*$R$1),0)</f>
        <v>0</v>
      </c>
      <c r="I90" s="22"/>
      <c r="J90" s="26" t="str">
        <f>IFERROR(VLOOKUP(I90,'Auxiliar (Foco externo)'!$A$2:$D$4,4,0),"")</f>
        <v/>
      </c>
      <c r="K90" s="22"/>
      <c r="L90" s="26" t="str">
        <f>IFERROR(VLOOKUP(K90,'Auxiliar (Foco externo)'!$E$2:$H$4,4,0),"")</f>
        <v/>
      </c>
      <c r="M90" s="22"/>
      <c r="N90" s="26" t="str">
        <f>IFERROR(VLOOKUP(M90,'Auxiliar (Foco externo)'!$I$2:$L$4,4,0),"")</f>
        <v/>
      </c>
      <c r="O90" s="22"/>
      <c r="P90" s="26" t="str">
        <f>IFERROR(VLOOKUP(O90,'Auxiliar (Foco externo)'!$M$2:$P$4,4,0),"")</f>
        <v/>
      </c>
      <c r="Q90" s="22"/>
      <c r="R90" s="26" t="str">
        <f>IFERROR(VLOOKUP(Q90,'Auxiliar (Foco externo)'!$Q$2:$T$4,4,0),"")</f>
        <v/>
      </c>
    </row>
    <row r="91" spans="1:18" x14ac:dyDescent="0.25">
      <c r="A91" s="23"/>
      <c r="B91" s="23"/>
      <c r="C91" s="22"/>
      <c r="D91" s="23"/>
      <c r="E91" s="23">
        <f>COUNTA(A91)</f>
        <v>0</v>
      </c>
      <c r="F91" s="23">
        <f>E91+F90</f>
        <v>20</v>
      </c>
      <c r="G91" s="25" t="str">
        <f>IF(A91="","C",IF(F91&lt;=0.2*$A$1,"A",IF(F91&lt;=0.5*$A$1,"B","C")))</f>
        <v>C</v>
      </c>
      <c r="H91" s="34">
        <f>IFERROR((J91*$J$1)+(L91*$L$1)+(N91*$N$1)+(P91*$P$1)+(R91*$R$1),0)</f>
        <v>0</v>
      </c>
      <c r="I91" s="22"/>
      <c r="J91" s="26" t="str">
        <f>IFERROR(VLOOKUP(I91,'Auxiliar (Foco externo)'!$A$2:$D$4,4,0),"")</f>
        <v/>
      </c>
      <c r="K91" s="22"/>
      <c r="L91" s="26" t="str">
        <f>IFERROR(VLOOKUP(K91,'Auxiliar (Foco externo)'!$E$2:$H$4,4,0),"")</f>
        <v/>
      </c>
      <c r="M91" s="22"/>
      <c r="N91" s="26" t="str">
        <f>IFERROR(VLOOKUP(M91,'Auxiliar (Foco externo)'!$I$2:$L$4,4,0),"")</f>
        <v/>
      </c>
      <c r="O91" s="22"/>
      <c r="P91" s="26" t="str">
        <f>IFERROR(VLOOKUP(O91,'Auxiliar (Foco externo)'!$M$2:$P$4,4,0),"")</f>
        <v/>
      </c>
      <c r="Q91" s="22"/>
      <c r="R91" s="26" t="str">
        <f>IFERROR(VLOOKUP(Q91,'Auxiliar (Foco externo)'!$Q$2:$T$4,4,0),"")</f>
        <v/>
      </c>
    </row>
    <row r="92" spans="1:18" x14ac:dyDescent="0.25">
      <c r="A92" s="23"/>
      <c r="B92" s="23"/>
      <c r="C92" s="22"/>
      <c r="D92" s="23"/>
      <c r="E92" s="23">
        <f>COUNTA(A92)</f>
        <v>0</v>
      </c>
      <c r="F92" s="23">
        <f>E92+F91</f>
        <v>20</v>
      </c>
      <c r="G92" s="25" t="str">
        <f>IF(A92="","C",IF(F92&lt;=0.2*$A$1,"A",IF(F92&lt;=0.5*$A$1,"B","C")))</f>
        <v>C</v>
      </c>
      <c r="H92" s="34">
        <f>IFERROR((J92*$J$1)+(L92*$L$1)+(N92*$N$1)+(P92*$P$1)+(R92*$R$1),0)</f>
        <v>0</v>
      </c>
      <c r="I92" s="22"/>
      <c r="J92" s="26" t="str">
        <f>IFERROR(VLOOKUP(I92,'Auxiliar (Foco externo)'!$A$2:$D$4,4,0),"")</f>
        <v/>
      </c>
      <c r="K92" s="22"/>
      <c r="L92" s="26" t="str">
        <f>IFERROR(VLOOKUP(K92,'Auxiliar (Foco externo)'!$E$2:$H$4,4,0),"")</f>
        <v/>
      </c>
      <c r="M92" s="22"/>
      <c r="N92" s="26" t="str">
        <f>IFERROR(VLOOKUP(M92,'Auxiliar (Foco externo)'!$I$2:$L$4,4,0),"")</f>
        <v/>
      </c>
      <c r="O92" s="22"/>
      <c r="P92" s="26" t="str">
        <f>IFERROR(VLOOKUP(O92,'Auxiliar (Foco externo)'!$M$2:$P$4,4,0),"")</f>
        <v/>
      </c>
      <c r="Q92" s="22"/>
      <c r="R92" s="26" t="str">
        <f>IFERROR(VLOOKUP(Q92,'Auxiliar (Foco externo)'!$Q$2:$T$4,4,0),"")</f>
        <v/>
      </c>
    </row>
    <row r="93" spans="1:18" x14ac:dyDescent="0.25">
      <c r="A93" s="23"/>
      <c r="B93" s="23"/>
      <c r="C93" s="22"/>
      <c r="D93" s="23"/>
      <c r="E93" s="23">
        <f>COUNTA(A93)</f>
        <v>0</v>
      </c>
      <c r="F93" s="23">
        <f>E93+F92</f>
        <v>20</v>
      </c>
      <c r="G93" s="25" t="str">
        <f>IF(A93="","C",IF(F93&lt;=0.2*$A$1,"A",IF(F93&lt;=0.5*$A$1,"B","C")))</f>
        <v>C</v>
      </c>
      <c r="H93" s="34">
        <f>IFERROR((J93*$J$1)+(L93*$L$1)+(N93*$N$1)+(P93*$P$1)+(R93*$R$1),0)</f>
        <v>0</v>
      </c>
      <c r="I93" s="22"/>
      <c r="J93" s="26" t="str">
        <f>IFERROR(VLOOKUP(I93,'Auxiliar (Foco externo)'!$A$2:$D$4,4,0),"")</f>
        <v/>
      </c>
      <c r="K93" s="22"/>
      <c r="L93" s="26" t="str">
        <f>IFERROR(VLOOKUP(K93,'Auxiliar (Foco externo)'!$E$2:$H$4,4,0),"")</f>
        <v/>
      </c>
      <c r="M93" s="22"/>
      <c r="N93" s="26" t="str">
        <f>IFERROR(VLOOKUP(M93,'Auxiliar (Foco externo)'!$I$2:$L$4,4,0),"")</f>
        <v/>
      </c>
      <c r="O93" s="22"/>
      <c r="P93" s="26" t="str">
        <f>IFERROR(VLOOKUP(O93,'Auxiliar (Foco externo)'!$M$2:$P$4,4,0),"")</f>
        <v/>
      </c>
      <c r="Q93" s="22"/>
      <c r="R93" s="26" t="str">
        <f>IFERROR(VLOOKUP(Q93,'Auxiliar (Foco externo)'!$Q$2:$T$4,4,0),"")</f>
        <v/>
      </c>
    </row>
    <row r="94" spans="1:18" x14ac:dyDescent="0.25">
      <c r="A94" s="23"/>
      <c r="B94" s="23"/>
      <c r="C94" s="22"/>
      <c r="D94" s="23"/>
      <c r="E94" s="23">
        <f>COUNTA(A94)</f>
        <v>0</v>
      </c>
      <c r="F94" s="23">
        <f>E94+F93</f>
        <v>20</v>
      </c>
      <c r="G94" s="25" t="str">
        <f>IF(A94="","C",IF(F94&lt;=0.2*$A$1,"A",IF(F94&lt;=0.5*$A$1,"B","C")))</f>
        <v>C</v>
      </c>
      <c r="H94" s="34">
        <f>IFERROR((J94*$J$1)+(L94*$L$1)+(N94*$N$1)+(P94*$P$1)+(R94*$R$1),0)</f>
        <v>0</v>
      </c>
      <c r="I94" s="22"/>
      <c r="J94" s="26" t="str">
        <f>IFERROR(VLOOKUP(I94,'Auxiliar (Foco externo)'!$A$2:$D$4,4,0),"")</f>
        <v/>
      </c>
      <c r="K94" s="22"/>
      <c r="L94" s="26" t="str">
        <f>IFERROR(VLOOKUP(K94,'Auxiliar (Foco externo)'!$E$2:$H$4,4,0),"")</f>
        <v/>
      </c>
      <c r="M94" s="22"/>
      <c r="N94" s="26" t="str">
        <f>IFERROR(VLOOKUP(M94,'Auxiliar (Foco externo)'!$I$2:$L$4,4,0),"")</f>
        <v/>
      </c>
      <c r="O94" s="22"/>
      <c r="P94" s="26" t="str">
        <f>IFERROR(VLOOKUP(O94,'Auxiliar (Foco externo)'!$M$2:$P$4,4,0),"")</f>
        <v/>
      </c>
      <c r="Q94" s="22"/>
      <c r="R94" s="26" t="str">
        <f>IFERROR(VLOOKUP(Q94,'Auxiliar (Foco externo)'!$Q$2:$T$4,4,0),"")</f>
        <v/>
      </c>
    </row>
    <row r="95" spans="1:18" x14ac:dyDescent="0.25">
      <c r="A95" s="23"/>
      <c r="B95" s="23"/>
      <c r="C95" s="22"/>
      <c r="D95" s="23"/>
      <c r="E95" s="23">
        <f>COUNTA(A95)</f>
        <v>0</v>
      </c>
      <c r="F95" s="23">
        <f>E95+F94</f>
        <v>20</v>
      </c>
      <c r="G95" s="25" t="str">
        <f>IF(A95="","C",IF(F95&lt;=0.2*$A$1,"A",IF(F95&lt;=0.5*$A$1,"B","C")))</f>
        <v>C</v>
      </c>
      <c r="H95" s="34">
        <f>IFERROR((J95*$J$1)+(L95*$L$1)+(N95*$N$1)+(P95*$P$1)+(R95*$R$1),0)</f>
        <v>0</v>
      </c>
      <c r="I95" s="22"/>
      <c r="J95" s="26" t="str">
        <f>IFERROR(VLOOKUP(I95,'Auxiliar (Foco externo)'!$A$2:$D$4,4,0),"")</f>
        <v/>
      </c>
      <c r="K95" s="22"/>
      <c r="L95" s="26" t="str">
        <f>IFERROR(VLOOKUP(K95,'Auxiliar (Foco externo)'!$E$2:$H$4,4,0),"")</f>
        <v/>
      </c>
      <c r="M95" s="22"/>
      <c r="N95" s="26" t="str">
        <f>IFERROR(VLOOKUP(M95,'Auxiliar (Foco externo)'!$I$2:$L$4,4,0),"")</f>
        <v/>
      </c>
      <c r="O95" s="22"/>
      <c r="P95" s="26" t="str">
        <f>IFERROR(VLOOKUP(O95,'Auxiliar (Foco externo)'!$M$2:$P$4,4,0),"")</f>
        <v/>
      </c>
      <c r="Q95" s="22"/>
      <c r="R95" s="26" t="str">
        <f>IFERROR(VLOOKUP(Q95,'Auxiliar (Foco externo)'!$Q$2:$T$4,4,0),"")</f>
        <v/>
      </c>
    </row>
    <row r="96" spans="1:18" x14ac:dyDescent="0.25">
      <c r="A96" s="23"/>
      <c r="B96" s="23"/>
      <c r="C96" s="22"/>
      <c r="D96" s="23"/>
      <c r="E96" s="23">
        <f>COUNTA(A96)</f>
        <v>0</v>
      </c>
      <c r="F96" s="23">
        <f>E96+F95</f>
        <v>20</v>
      </c>
      <c r="G96" s="25" t="str">
        <f>IF(A96="","C",IF(F96&lt;=0.2*$A$1,"A",IF(F96&lt;=0.5*$A$1,"B","C")))</f>
        <v>C</v>
      </c>
      <c r="H96" s="34">
        <f>IFERROR((J96*$J$1)+(L96*$L$1)+(N96*$N$1)+(P96*$P$1)+(R96*$R$1),0)</f>
        <v>0</v>
      </c>
      <c r="I96" s="22"/>
      <c r="J96" s="26" t="str">
        <f>IFERROR(VLOOKUP(I96,'Auxiliar (Foco externo)'!$A$2:$D$4,4,0),"")</f>
        <v/>
      </c>
      <c r="K96" s="22"/>
      <c r="L96" s="26" t="str">
        <f>IFERROR(VLOOKUP(K96,'Auxiliar (Foco externo)'!$E$2:$H$4,4,0),"")</f>
        <v/>
      </c>
      <c r="M96" s="22"/>
      <c r="N96" s="26" t="str">
        <f>IFERROR(VLOOKUP(M96,'Auxiliar (Foco externo)'!$I$2:$L$4,4,0),"")</f>
        <v/>
      </c>
      <c r="O96" s="22"/>
      <c r="P96" s="26" t="str">
        <f>IFERROR(VLOOKUP(O96,'Auxiliar (Foco externo)'!$M$2:$P$4,4,0),"")</f>
        <v/>
      </c>
      <c r="Q96" s="22"/>
      <c r="R96" s="26" t="str">
        <f>IFERROR(VLOOKUP(Q96,'Auxiliar (Foco externo)'!$Q$2:$T$4,4,0),"")</f>
        <v/>
      </c>
    </row>
    <row r="97" spans="1:18" x14ac:dyDescent="0.25">
      <c r="A97" s="23"/>
      <c r="B97" s="23"/>
      <c r="C97" s="22"/>
      <c r="D97" s="23"/>
      <c r="E97" s="23">
        <f>COUNTA(A97)</f>
        <v>0</v>
      </c>
      <c r="F97" s="23">
        <f>E97+F96</f>
        <v>20</v>
      </c>
      <c r="G97" s="25" t="str">
        <f>IF(A97="","C",IF(F97&lt;=0.2*$A$1,"A",IF(F97&lt;=0.5*$A$1,"B","C")))</f>
        <v>C</v>
      </c>
      <c r="H97" s="34">
        <f>IFERROR((J97*$J$1)+(L97*$L$1)+(N97*$N$1)+(P97*$P$1)+(R97*$R$1),0)</f>
        <v>0</v>
      </c>
      <c r="I97" s="22"/>
      <c r="J97" s="26" t="str">
        <f>IFERROR(VLOOKUP(I97,'Auxiliar (Foco externo)'!$A$2:$D$4,4,0),"")</f>
        <v/>
      </c>
      <c r="K97" s="22"/>
      <c r="L97" s="26" t="str">
        <f>IFERROR(VLOOKUP(K97,'Auxiliar (Foco externo)'!$E$2:$H$4,4,0),"")</f>
        <v/>
      </c>
      <c r="M97" s="22"/>
      <c r="N97" s="26" t="str">
        <f>IFERROR(VLOOKUP(M97,'Auxiliar (Foco externo)'!$I$2:$L$4,4,0),"")</f>
        <v/>
      </c>
      <c r="O97" s="22"/>
      <c r="P97" s="26" t="str">
        <f>IFERROR(VLOOKUP(O97,'Auxiliar (Foco externo)'!$M$2:$P$4,4,0),"")</f>
        <v/>
      </c>
      <c r="Q97" s="22"/>
      <c r="R97" s="26" t="str">
        <f>IFERROR(VLOOKUP(Q97,'Auxiliar (Foco externo)'!$Q$2:$T$4,4,0),"")</f>
        <v/>
      </c>
    </row>
    <row r="98" spans="1:18" x14ac:dyDescent="0.25">
      <c r="A98" s="23"/>
      <c r="B98" s="23"/>
      <c r="C98" s="22"/>
      <c r="D98" s="23"/>
      <c r="E98" s="23">
        <f>COUNTA(A98)</f>
        <v>0</v>
      </c>
      <c r="F98" s="23">
        <f>E98+F97</f>
        <v>20</v>
      </c>
      <c r="G98" s="25" t="str">
        <f>IF(A98="","C",IF(F98&lt;=0.2*$A$1,"A",IF(F98&lt;=0.5*$A$1,"B","C")))</f>
        <v>C</v>
      </c>
      <c r="H98" s="34">
        <f>IFERROR((J98*$J$1)+(L98*$L$1)+(N98*$N$1)+(P98*$P$1)+(R98*$R$1),0)</f>
        <v>0</v>
      </c>
      <c r="I98" s="22"/>
      <c r="J98" s="26" t="str">
        <f>IFERROR(VLOOKUP(I98,'Auxiliar (Foco externo)'!$A$2:$D$4,4,0),"")</f>
        <v/>
      </c>
      <c r="K98" s="22"/>
      <c r="L98" s="26" t="str">
        <f>IFERROR(VLOOKUP(K98,'Auxiliar (Foco externo)'!$E$2:$H$4,4,0),"")</f>
        <v/>
      </c>
      <c r="M98" s="22"/>
      <c r="N98" s="26" t="str">
        <f>IFERROR(VLOOKUP(M98,'Auxiliar (Foco externo)'!$I$2:$L$4,4,0),"")</f>
        <v/>
      </c>
      <c r="O98" s="22"/>
      <c r="P98" s="26" t="str">
        <f>IFERROR(VLOOKUP(O98,'Auxiliar (Foco externo)'!$M$2:$P$4,4,0),"")</f>
        <v/>
      </c>
      <c r="Q98" s="22"/>
      <c r="R98" s="26" t="str">
        <f>IFERROR(VLOOKUP(Q98,'Auxiliar (Foco externo)'!$Q$2:$T$4,4,0),"")</f>
        <v/>
      </c>
    </row>
    <row r="99" spans="1:18" x14ac:dyDescent="0.25">
      <c r="A99" s="23"/>
      <c r="B99" s="23"/>
      <c r="C99" s="22"/>
      <c r="D99" s="23"/>
      <c r="E99" s="23">
        <f>COUNTA(A99)</f>
        <v>0</v>
      </c>
      <c r="F99" s="23">
        <f>E99+F98</f>
        <v>20</v>
      </c>
      <c r="G99" s="25" t="str">
        <f>IF(A99="","C",IF(F99&lt;=0.2*$A$1,"A",IF(F99&lt;=0.5*$A$1,"B","C")))</f>
        <v>C</v>
      </c>
      <c r="H99" s="34">
        <f>IFERROR((J99*$J$1)+(L99*$L$1)+(N99*$N$1)+(P99*$P$1)+(R99*$R$1),0)</f>
        <v>0</v>
      </c>
      <c r="I99" s="22"/>
      <c r="J99" s="26" t="str">
        <f>IFERROR(VLOOKUP(I99,'Auxiliar (Foco externo)'!$A$2:$D$4,4,0),"")</f>
        <v/>
      </c>
      <c r="K99" s="22"/>
      <c r="L99" s="26" t="str">
        <f>IFERROR(VLOOKUP(K99,'Auxiliar (Foco externo)'!$E$2:$H$4,4,0),"")</f>
        <v/>
      </c>
      <c r="M99" s="22"/>
      <c r="N99" s="26" t="str">
        <f>IFERROR(VLOOKUP(M99,'Auxiliar (Foco externo)'!$I$2:$L$4,4,0),"")</f>
        <v/>
      </c>
      <c r="O99" s="22"/>
      <c r="P99" s="26" t="str">
        <f>IFERROR(VLOOKUP(O99,'Auxiliar (Foco externo)'!$M$2:$P$4,4,0),"")</f>
        <v/>
      </c>
      <c r="Q99" s="22"/>
      <c r="R99" s="26" t="str">
        <f>IFERROR(VLOOKUP(Q99,'Auxiliar (Foco externo)'!$Q$2:$T$4,4,0),"")</f>
        <v/>
      </c>
    </row>
    <row r="100" spans="1:18" x14ac:dyDescent="0.25">
      <c r="A100" s="23"/>
      <c r="B100" s="23"/>
      <c r="C100" s="22"/>
      <c r="D100" s="23"/>
      <c r="E100" s="23">
        <f>COUNTA(A100)</f>
        <v>0</v>
      </c>
      <c r="F100" s="23">
        <f>E100+F99</f>
        <v>20</v>
      </c>
      <c r="G100" s="25" t="str">
        <f>IF(A100="","C",IF(F100&lt;=0.2*$A$1,"A",IF(F100&lt;=0.5*$A$1,"B","C")))</f>
        <v>C</v>
      </c>
      <c r="H100" s="34">
        <f>IFERROR((J100*$J$1)+(L100*$L$1)+(N100*$N$1)+(P100*$P$1)+(R100*$R$1),0)</f>
        <v>0</v>
      </c>
      <c r="I100" s="22"/>
      <c r="J100" s="26" t="str">
        <f>IFERROR(VLOOKUP(I100,'Auxiliar (Foco externo)'!$A$2:$D$4,4,0),"")</f>
        <v/>
      </c>
      <c r="K100" s="22"/>
      <c r="L100" s="26" t="str">
        <f>IFERROR(VLOOKUP(K100,'Auxiliar (Foco externo)'!$E$2:$H$4,4,0),"")</f>
        <v/>
      </c>
      <c r="M100" s="22"/>
      <c r="N100" s="26" t="str">
        <f>IFERROR(VLOOKUP(M100,'Auxiliar (Foco externo)'!$I$2:$L$4,4,0),"")</f>
        <v/>
      </c>
      <c r="O100" s="22"/>
      <c r="P100" s="26" t="str">
        <f>IFERROR(VLOOKUP(O100,'Auxiliar (Foco externo)'!$M$2:$P$4,4,0),"")</f>
        <v/>
      </c>
      <c r="Q100" s="22"/>
      <c r="R100" s="26" t="str">
        <f>IFERROR(VLOOKUP(Q100,'Auxiliar (Foco externo)'!$Q$2:$T$4,4,0),"")</f>
        <v/>
      </c>
    </row>
    <row r="101" spans="1:18" x14ac:dyDescent="0.25">
      <c r="A101" s="23"/>
      <c r="B101" s="23"/>
      <c r="C101" s="22"/>
      <c r="D101" s="23"/>
      <c r="E101" s="23">
        <f>COUNTA(A101)</f>
        <v>0</v>
      </c>
      <c r="F101" s="23">
        <f>E101+F100</f>
        <v>20</v>
      </c>
      <c r="G101" s="25" t="str">
        <f>IF(A101="","C",IF(F101&lt;=0.2*$A$1,"A",IF(F101&lt;=0.5*$A$1,"B","C")))</f>
        <v>C</v>
      </c>
      <c r="H101" s="34">
        <f>IFERROR((J101*$J$1)+(L101*$L$1)+(N101*$N$1)+(P101*$P$1)+(R101*$R$1),0)</f>
        <v>0</v>
      </c>
      <c r="I101" s="22"/>
      <c r="J101" s="26" t="str">
        <f>IFERROR(VLOOKUP(I101,'Auxiliar (Foco externo)'!$A$2:$D$4,4,0),"")</f>
        <v/>
      </c>
      <c r="K101" s="22"/>
      <c r="L101" s="26" t="str">
        <f>IFERROR(VLOOKUP(K101,'Auxiliar (Foco externo)'!$E$2:$H$4,4,0),"")</f>
        <v/>
      </c>
      <c r="M101" s="22"/>
      <c r="N101" s="26" t="str">
        <f>IFERROR(VLOOKUP(M101,'Auxiliar (Foco externo)'!$I$2:$L$4,4,0),"")</f>
        <v/>
      </c>
      <c r="O101" s="22"/>
      <c r="P101" s="26" t="str">
        <f>IFERROR(VLOOKUP(O101,'Auxiliar (Foco externo)'!$M$2:$P$4,4,0),"")</f>
        <v/>
      </c>
      <c r="Q101" s="22"/>
      <c r="R101" s="26" t="str">
        <f>IFERROR(VLOOKUP(Q101,'Auxiliar (Foco externo)'!$Q$2:$T$4,4,0),"")</f>
        <v/>
      </c>
    </row>
  </sheetData>
  <autoFilter ref="A2:R23" xr:uid="{00000000-0009-0000-0000-000000000000}">
    <sortState xmlns:xlrd2="http://schemas.microsoft.com/office/spreadsheetml/2017/richdata2" ref="A4:R23">
      <sortCondition descending="1" ref="H2:H23"/>
    </sortState>
  </autoFilter>
  <sortState xmlns:xlrd2="http://schemas.microsoft.com/office/spreadsheetml/2017/richdata2" ref="A4:R75">
    <sortCondition ref="D4:D75"/>
    <sortCondition ref="G4:G75"/>
  </sortState>
  <conditionalFormatting sqref="G2:G101">
    <cfRule type="expression" dxfId="5" priority="22">
      <formula>G2="C"</formula>
    </cfRule>
    <cfRule type="expression" dxfId="4" priority="23">
      <formula>G2="B"</formula>
    </cfRule>
    <cfRule type="expression" dxfId="3" priority="24">
      <formula>G2="A"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7000000}">
          <x14:formula1>
            <xm:f>'Auxiliar (Foco externo)'!$A$2:$A$4</xm:f>
          </x14:formula1>
          <xm:sqref>I4:I101</xm:sqref>
        </x14:dataValidation>
        <x14:dataValidation type="list" allowBlank="1" showInputMessage="1" showErrorMessage="1" xr:uid="{00000000-0002-0000-0000-000008000000}">
          <x14:formula1>
            <xm:f>'Auxiliar (Foco externo)'!$E$2:$E$4</xm:f>
          </x14:formula1>
          <xm:sqref>K4:K101</xm:sqref>
        </x14:dataValidation>
        <x14:dataValidation type="list" allowBlank="1" showInputMessage="1" showErrorMessage="1" xr:uid="{00000000-0002-0000-0000-000009000000}">
          <x14:formula1>
            <xm:f>'Auxiliar (Foco externo)'!$M$2:$M$4</xm:f>
          </x14:formula1>
          <xm:sqref>O4:O101</xm:sqref>
        </x14:dataValidation>
        <x14:dataValidation type="list" allowBlank="1" showInputMessage="1" showErrorMessage="1" xr:uid="{51F77AFA-25DE-47E4-8069-6A08EB54F41E}">
          <x14:formula1>
            <xm:f>'Auxiliar (Foco externo)'!$I$2:$I$4</xm:f>
          </x14:formula1>
          <xm:sqref>M4:M101</xm:sqref>
        </x14:dataValidation>
        <x14:dataValidation type="list" allowBlank="1" showInputMessage="1" showErrorMessage="1" xr:uid="{23FC7144-4A1E-4BF0-A97D-891430CA3BAD}">
          <x14:formula1>
            <xm:f>'Auxiliar (Foco externo)'!$Q$2:$Q$3</xm:f>
          </x14:formula1>
          <xm:sqref>Q4:Q101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K10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" sqref="C1"/>
    </sheetView>
  </sheetViews>
  <sheetFormatPr defaultRowHeight="15" x14ac:dyDescent="0.25"/>
  <cols>
    <col min="1" max="10" width="32" customWidth="1"/>
  </cols>
  <sheetData>
    <row r="1" spans="1:11" ht="57.75" customHeight="1" x14ac:dyDescent="0.25">
      <c r="A1" s="3"/>
      <c r="B1" s="10" t="s">
        <v>12</v>
      </c>
      <c r="C1" s="10" t="s">
        <v>8</v>
      </c>
      <c r="D1" s="10" t="s">
        <v>5</v>
      </c>
      <c r="E1" s="10" t="s">
        <v>9</v>
      </c>
      <c r="F1" s="10" t="s">
        <v>13</v>
      </c>
      <c r="G1" s="10" t="s">
        <v>16</v>
      </c>
      <c r="H1" s="10" t="s">
        <v>10</v>
      </c>
      <c r="I1" s="10" t="s">
        <v>14</v>
      </c>
      <c r="J1" s="10" t="s">
        <v>11</v>
      </c>
      <c r="K1" s="10" t="s">
        <v>15</v>
      </c>
    </row>
    <row r="2" spans="1:11" ht="57.75" customHeight="1" x14ac:dyDescent="0.25">
      <c r="A2" s="10" t="s">
        <v>12</v>
      </c>
      <c r="B2" s="11"/>
      <c r="C2" s="12"/>
      <c r="D2" s="12"/>
      <c r="E2" s="12"/>
      <c r="F2" s="12"/>
      <c r="G2" s="12"/>
      <c r="H2" s="12"/>
      <c r="I2" s="12">
        <v>1</v>
      </c>
      <c r="J2" s="12">
        <v>1</v>
      </c>
      <c r="K2" s="3"/>
    </row>
    <row r="3" spans="1:11" ht="57.75" customHeight="1" x14ac:dyDescent="0.25">
      <c r="A3" s="10" t="s">
        <v>8</v>
      </c>
      <c r="B3" s="3">
        <v>1</v>
      </c>
      <c r="C3" s="11"/>
      <c r="D3" s="3"/>
      <c r="E3" s="3"/>
      <c r="F3" s="3"/>
      <c r="G3" s="3"/>
      <c r="H3" s="3"/>
      <c r="I3" s="3">
        <v>1</v>
      </c>
      <c r="J3" s="3">
        <v>1</v>
      </c>
      <c r="K3" s="3"/>
    </row>
    <row r="4" spans="1:11" ht="57.75" customHeight="1" x14ac:dyDescent="0.25">
      <c r="A4" s="10" t="s">
        <v>5</v>
      </c>
      <c r="B4" s="3">
        <v>1</v>
      </c>
      <c r="C4" s="3">
        <v>1</v>
      </c>
      <c r="D4" s="11"/>
      <c r="E4" s="3"/>
      <c r="F4" s="3"/>
      <c r="G4" s="3"/>
      <c r="H4" s="3"/>
      <c r="I4" s="3">
        <v>1</v>
      </c>
      <c r="J4" s="3">
        <v>1</v>
      </c>
      <c r="K4" s="3"/>
    </row>
    <row r="5" spans="1:11" ht="57.75" customHeight="1" x14ac:dyDescent="0.25">
      <c r="A5" s="10" t="s">
        <v>9</v>
      </c>
      <c r="B5" s="3">
        <v>1</v>
      </c>
      <c r="C5" s="3">
        <v>1</v>
      </c>
      <c r="D5" s="3"/>
      <c r="E5" s="11"/>
      <c r="F5" s="3"/>
      <c r="G5" s="3"/>
      <c r="H5" s="3"/>
      <c r="I5" s="3">
        <v>1</v>
      </c>
      <c r="J5" s="3">
        <v>1</v>
      </c>
      <c r="K5" s="3"/>
    </row>
    <row r="6" spans="1:11" ht="57.75" customHeight="1" x14ac:dyDescent="0.25">
      <c r="A6" s="10" t="s">
        <v>13</v>
      </c>
      <c r="B6" s="3"/>
      <c r="C6" s="3"/>
      <c r="D6" s="3"/>
      <c r="E6" s="3"/>
      <c r="F6" s="11"/>
      <c r="G6" s="3"/>
      <c r="H6" s="3"/>
      <c r="I6" s="3">
        <v>1</v>
      </c>
      <c r="J6" s="3">
        <v>1</v>
      </c>
      <c r="K6" s="3"/>
    </row>
    <row r="7" spans="1:11" ht="57.75" customHeight="1" x14ac:dyDescent="0.25">
      <c r="A7" s="10" t="s">
        <v>16</v>
      </c>
      <c r="B7" s="3">
        <v>1</v>
      </c>
      <c r="C7" s="3">
        <v>1</v>
      </c>
      <c r="D7" s="3"/>
      <c r="E7" s="3"/>
      <c r="F7" s="3"/>
      <c r="G7" s="11"/>
      <c r="H7" s="3"/>
      <c r="I7" s="3">
        <v>1</v>
      </c>
      <c r="J7" s="3">
        <v>1</v>
      </c>
      <c r="K7" s="3"/>
    </row>
    <row r="8" spans="1:11" ht="57.75" customHeight="1" x14ac:dyDescent="0.25">
      <c r="A8" s="10" t="s">
        <v>10</v>
      </c>
      <c r="B8" s="3">
        <v>1</v>
      </c>
      <c r="C8" s="3">
        <v>1</v>
      </c>
      <c r="D8" s="3"/>
      <c r="E8" s="3"/>
      <c r="F8" s="3"/>
      <c r="G8" s="3"/>
      <c r="H8" s="11"/>
      <c r="I8" s="3">
        <v>1</v>
      </c>
      <c r="J8" s="3">
        <v>1</v>
      </c>
      <c r="K8" s="3"/>
    </row>
    <row r="9" spans="1:11" ht="57.75" customHeight="1" x14ac:dyDescent="0.25">
      <c r="A9" s="10" t="s">
        <v>14</v>
      </c>
      <c r="B9" s="3"/>
      <c r="C9" s="3"/>
      <c r="D9" s="3"/>
      <c r="E9" s="3"/>
      <c r="F9" s="3"/>
      <c r="G9" s="3"/>
      <c r="H9" s="3"/>
      <c r="I9" s="11"/>
      <c r="J9" s="3"/>
      <c r="K9" s="3"/>
    </row>
    <row r="10" spans="1:11" ht="57.75" customHeight="1" x14ac:dyDescent="0.25">
      <c r="A10" s="10" t="s">
        <v>11</v>
      </c>
      <c r="B10" s="3"/>
      <c r="C10" s="3"/>
      <c r="D10" s="3"/>
      <c r="E10" s="3"/>
      <c r="F10" s="3"/>
      <c r="G10" s="3"/>
      <c r="H10" s="3"/>
      <c r="I10" s="3"/>
      <c r="J10" s="11"/>
      <c r="K10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T13"/>
  <sheetViews>
    <sheetView showGridLines="0" zoomScale="90" zoomScaleNormal="90" workbookViewId="0">
      <selection activeCell="E9" sqref="E9"/>
    </sheetView>
  </sheetViews>
  <sheetFormatPr defaultRowHeight="15" x14ac:dyDescent="0.25"/>
  <cols>
    <col min="1" max="1" width="33.5703125" customWidth="1"/>
    <col min="2" max="2" width="7.85546875" customWidth="1"/>
    <col min="3" max="3" width="7.85546875" bestFit="1" customWidth="1"/>
    <col min="4" max="4" width="5.85546875" bestFit="1" customWidth="1"/>
    <col min="5" max="5" width="40.85546875" customWidth="1"/>
    <col min="6" max="6" width="5.5703125" bestFit="1" customWidth="1"/>
    <col min="7" max="7" width="7.85546875" bestFit="1" customWidth="1"/>
    <col min="8" max="8" width="5.85546875" bestFit="1" customWidth="1"/>
    <col min="9" max="9" width="23.85546875" customWidth="1"/>
    <col min="10" max="10" width="5.5703125" bestFit="1" customWidth="1"/>
    <col min="11" max="11" width="7.85546875" bestFit="1" customWidth="1"/>
    <col min="12" max="12" width="5.85546875" bestFit="1" customWidth="1"/>
    <col min="13" max="13" width="21.42578125" customWidth="1"/>
    <col min="14" max="14" width="5.5703125" bestFit="1" customWidth="1"/>
    <col min="15" max="15" width="7.85546875" bestFit="1" customWidth="1"/>
    <col min="16" max="16" width="5.85546875" bestFit="1" customWidth="1"/>
    <col min="17" max="17" width="29.7109375" customWidth="1"/>
    <col min="18" max="19" width="11.85546875" bestFit="1" customWidth="1"/>
    <col min="20" max="20" width="5.85546875" bestFit="1" customWidth="1"/>
  </cols>
  <sheetData>
    <row r="1" spans="1:20" ht="56.25" customHeight="1" x14ac:dyDescent="0.25">
      <c r="A1" s="20" t="s">
        <v>65</v>
      </c>
      <c r="B1" s="4" t="s">
        <v>6</v>
      </c>
      <c r="C1" s="4" t="s">
        <v>7</v>
      </c>
      <c r="D1" s="4" t="s">
        <v>2</v>
      </c>
      <c r="E1" s="20" t="s">
        <v>66</v>
      </c>
      <c r="F1" s="4" t="s">
        <v>6</v>
      </c>
      <c r="G1" s="4" t="s">
        <v>7</v>
      </c>
      <c r="H1" s="4" t="s">
        <v>2</v>
      </c>
      <c r="I1" s="20" t="s">
        <v>73</v>
      </c>
      <c r="J1" s="4" t="s">
        <v>6</v>
      </c>
      <c r="K1" s="4" t="s">
        <v>7</v>
      </c>
      <c r="L1" s="4" t="s">
        <v>2</v>
      </c>
      <c r="M1" s="20" t="s">
        <v>75</v>
      </c>
      <c r="N1" s="4" t="s">
        <v>6</v>
      </c>
      <c r="O1" s="4" t="s">
        <v>7</v>
      </c>
      <c r="P1" s="4" t="s">
        <v>2</v>
      </c>
      <c r="Q1" s="20" t="s">
        <v>81</v>
      </c>
      <c r="R1" s="4" t="s">
        <v>6</v>
      </c>
      <c r="S1" s="4" t="s">
        <v>7</v>
      </c>
      <c r="T1" s="4" t="s">
        <v>2</v>
      </c>
    </row>
    <row r="2" spans="1:20" ht="78.75" x14ac:dyDescent="0.25">
      <c r="A2" s="5" t="s">
        <v>68</v>
      </c>
      <c r="B2" s="6">
        <v>1</v>
      </c>
      <c r="C2" s="7">
        <v>10</v>
      </c>
      <c r="D2" s="7">
        <f>B2*C2</f>
        <v>10</v>
      </c>
      <c r="E2" s="5" t="s">
        <v>69</v>
      </c>
      <c r="F2" s="6">
        <v>1</v>
      </c>
      <c r="G2" s="7">
        <v>10</v>
      </c>
      <c r="H2" s="7">
        <f>F2*G2</f>
        <v>10</v>
      </c>
      <c r="I2" s="5" t="s">
        <v>76</v>
      </c>
      <c r="J2" s="6">
        <v>1</v>
      </c>
      <c r="K2" s="7">
        <v>10</v>
      </c>
      <c r="L2" s="7">
        <f>J2*K2</f>
        <v>10</v>
      </c>
      <c r="M2" s="5" t="s">
        <v>78</v>
      </c>
      <c r="N2" s="6">
        <v>1</v>
      </c>
      <c r="O2" s="7">
        <v>10</v>
      </c>
      <c r="P2" s="7">
        <f>N2*O2</f>
        <v>10</v>
      </c>
      <c r="Q2" s="5" t="s">
        <v>82</v>
      </c>
      <c r="R2" s="6">
        <v>1</v>
      </c>
      <c r="S2" s="7">
        <v>10</v>
      </c>
      <c r="T2" s="7">
        <f>R2*S2</f>
        <v>10</v>
      </c>
    </row>
    <row r="3" spans="1:20" ht="30.75" customHeight="1" x14ac:dyDescent="0.25">
      <c r="A3" s="5" t="s">
        <v>67</v>
      </c>
      <c r="B3" s="6">
        <v>1</v>
      </c>
      <c r="C3" s="7">
        <v>6</v>
      </c>
      <c r="D3" s="7">
        <f t="shared" ref="D3" si="0">B3*C3</f>
        <v>6</v>
      </c>
      <c r="E3" s="5" t="s">
        <v>70</v>
      </c>
      <c r="F3" s="6">
        <v>1</v>
      </c>
      <c r="G3" s="7">
        <v>6</v>
      </c>
      <c r="H3" s="7">
        <f t="shared" ref="H3:H4" si="1">F3*G3</f>
        <v>6</v>
      </c>
      <c r="I3" s="5" t="s">
        <v>77</v>
      </c>
      <c r="J3" s="6">
        <v>1</v>
      </c>
      <c r="K3" s="8">
        <v>6</v>
      </c>
      <c r="L3" s="7">
        <f t="shared" ref="L3:L4" si="2">J3*K3</f>
        <v>6</v>
      </c>
      <c r="M3" s="5" t="s">
        <v>79</v>
      </c>
      <c r="N3" s="6">
        <v>1</v>
      </c>
      <c r="O3" s="7">
        <v>6</v>
      </c>
      <c r="P3" s="7">
        <f t="shared" ref="P3:P4" si="3">N3*O3</f>
        <v>6</v>
      </c>
      <c r="Q3" s="5" t="s">
        <v>83</v>
      </c>
      <c r="R3" s="6">
        <v>1</v>
      </c>
      <c r="S3" s="7">
        <v>1</v>
      </c>
      <c r="T3" s="7">
        <f>R3*S3</f>
        <v>1</v>
      </c>
    </row>
    <row r="4" spans="1:20" ht="63" x14ac:dyDescent="0.25">
      <c r="A4" s="5" t="s">
        <v>71</v>
      </c>
      <c r="B4" s="6">
        <v>1</v>
      </c>
      <c r="C4" s="8">
        <v>1</v>
      </c>
      <c r="D4" s="7">
        <f t="shared" ref="D4" si="4">B4*C4</f>
        <v>1</v>
      </c>
      <c r="E4" s="5" t="s">
        <v>72</v>
      </c>
      <c r="F4" s="6">
        <v>1</v>
      </c>
      <c r="G4" s="7">
        <v>1</v>
      </c>
      <c r="H4" s="7">
        <f t="shared" si="1"/>
        <v>1</v>
      </c>
      <c r="I4" s="5" t="s">
        <v>74</v>
      </c>
      <c r="J4" s="6">
        <v>1</v>
      </c>
      <c r="K4" s="7">
        <v>1</v>
      </c>
      <c r="L4" s="7">
        <f t="shared" si="2"/>
        <v>1</v>
      </c>
      <c r="M4" s="5" t="s">
        <v>80</v>
      </c>
      <c r="N4" s="6">
        <v>1</v>
      </c>
      <c r="O4" s="7">
        <v>1</v>
      </c>
      <c r="P4" s="7">
        <f t="shared" si="3"/>
        <v>1</v>
      </c>
      <c r="Q4" s="5"/>
      <c r="R4" s="6"/>
      <c r="S4" s="7"/>
      <c r="T4" s="7"/>
    </row>
    <row r="7" spans="1:20" ht="15.75" x14ac:dyDescent="0.25">
      <c r="A7" s="4" t="s">
        <v>84</v>
      </c>
      <c r="B7" s="4" t="s">
        <v>6</v>
      </c>
    </row>
    <row r="8" spans="1:20" ht="63" x14ac:dyDescent="0.25">
      <c r="A8" s="20" t="s">
        <v>65</v>
      </c>
      <c r="B8" s="19">
        <v>0.25</v>
      </c>
    </row>
    <row r="9" spans="1:20" ht="47.25" x14ac:dyDescent="0.25">
      <c r="A9" s="20" t="s">
        <v>66</v>
      </c>
      <c r="B9" s="19">
        <v>0.125</v>
      </c>
    </row>
    <row r="10" spans="1:20" ht="31.5" x14ac:dyDescent="0.25">
      <c r="A10" s="20" t="s">
        <v>73</v>
      </c>
      <c r="B10" s="19">
        <v>0.25</v>
      </c>
    </row>
    <row r="11" spans="1:20" ht="31.5" x14ac:dyDescent="0.25">
      <c r="A11" s="20" t="s">
        <v>75</v>
      </c>
      <c r="B11" s="19">
        <v>0.125</v>
      </c>
    </row>
    <row r="12" spans="1:20" ht="47.25" x14ac:dyDescent="0.25">
      <c r="A12" s="20" t="s">
        <v>81</v>
      </c>
      <c r="B12" s="19">
        <v>0.25</v>
      </c>
    </row>
    <row r="13" spans="1:20" x14ac:dyDescent="0.25">
      <c r="B13">
        <f>SUM(B8:B12)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42E8F-22DF-4231-92B2-5D30D517CCB1}">
  <sheetPr codeName="Plan3"/>
  <dimension ref="A1:V101"/>
  <sheetViews>
    <sheetView showGridLines="0" zoomScale="80" zoomScaleNormal="80" workbookViewId="0">
      <pane xSplit="1" ySplit="2" topLeftCell="B4" activePane="bottomRight" state="frozen"/>
      <selection pane="topRight" activeCell="C1" sqref="C1"/>
      <selection pane="bottomLeft" activeCell="A3" sqref="A3"/>
      <selection pane="bottomRight"/>
    </sheetView>
  </sheetViews>
  <sheetFormatPr defaultRowHeight="15" x14ac:dyDescent="0.25"/>
  <cols>
    <col min="1" max="1" width="63.140625" style="24" bestFit="1" customWidth="1"/>
    <col min="2" max="2" width="19.5703125" style="24" bestFit="1" customWidth="1"/>
    <col min="3" max="3" width="22.42578125" style="33" bestFit="1" customWidth="1"/>
    <col min="4" max="4" width="15.5703125" style="29" bestFit="1" customWidth="1"/>
    <col min="5" max="6" width="15.5703125" style="29" hidden="1" customWidth="1"/>
    <col min="7" max="7" width="20" style="24" bestFit="1" customWidth="1"/>
    <col min="8" max="8" width="14.28515625" style="24" bestFit="1" customWidth="1"/>
    <col min="9" max="9" width="38" style="33" customWidth="1"/>
    <col min="10" max="10" width="8.7109375" style="24" customWidth="1"/>
    <col min="11" max="11" width="46.28515625" style="33" customWidth="1"/>
    <col min="12" max="12" width="8.7109375" style="24" customWidth="1"/>
    <col min="13" max="13" width="38.85546875" style="33" customWidth="1"/>
    <col min="14" max="14" width="8.7109375" style="24" customWidth="1"/>
    <col min="15" max="15" width="38.7109375" style="33" customWidth="1"/>
    <col min="16" max="16" width="8.7109375" style="24" customWidth="1"/>
    <col min="17" max="16384" width="9.140625" style="29"/>
  </cols>
  <sheetData>
    <row r="1" spans="1:22" s="13" customFormat="1" ht="114.75" customHeight="1" thickBot="1" x14ac:dyDescent="0.3">
      <c r="A1" s="38">
        <f>COUNTA(A4:A101)</f>
        <v>20</v>
      </c>
      <c r="C1" s="33"/>
      <c r="I1" s="21"/>
      <c r="J1" s="14">
        <v>0.2</v>
      </c>
      <c r="K1" s="21"/>
      <c r="L1" s="14">
        <v>0.2</v>
      </c>
      <c r="M1" s="21"/>
      <c r="N1" s="14">
        <v>0.2</v>
      </c>
      <c r="O1" s="21"/>
      <c r="P1" s="14">
        <v>0.4</v>
      </c>
    </row>
    <row r="2" spans="1:22" s="13" customFormat="1" ht="94.5" customHeight="1" thickBot="1" x14ac:dyDescent="0.3">
      <c r="A2" s="1" t="s">
        <v>0</v>
      </c>
      <c r="B2" s="1" t="s">
        <v>3</v>
      </c>
      <c r="C2" s="1" t="s">
        <v>87</v>
      </c>
      <c r="D2" s="2" t="s">
        <v>17</v>
      </c>
      <c r="E2" s="9" t="s">
        <v>22</v>
      </c>
      <c r="F2" s="9" t="s">
        <v>123</v>
      </c>
      <c r="G2" s="1" t="s">
        <v>1</v>
      </c>
      <c r="H2" s="1" t="s">
        <v>4</v>
      </c>
      <c r="I2" s="1" t="s">
        <v>124</v>
      </c>
      <c r="J2" s="1" t="s">
        <v>2</v>
      </c>
      <c r="K2" s="1" t="s">
        <v>125</v>
      </c>
      <c r="L2" s="1" t="s">
        <v>2</v>
      </c>
      <c r="M2" s="1" t="s">
        <v>126</v>
      </c>
      <c r="N2" s="1" t="s">
        <v>2</v>
      </c>
      <c r="O2" s="1" t="s">
        <v>127</v>
      </c>
      <c r="P2" s="1" t="s">
        <v>2</v>
      </c>
    </row>
    <row r="3" spans="1:22" s="37" customFormat="1" ht="10.5" hidden="1" customHeight="1" x14ac:dyDescent="0.25">
      <c r="A3" s="35"/>
      <c r="B3" s="35"/>
      <c r="C3" s="35"/>
      <c r="D3" s="36"/>
      <c r="E3" s="36"/>
      <c r="F3" s="36"/>
      <c r="G3" s="35"/>
      <c r="H3" s="35"/>
      <c r="I3" s="35"/>
      <c r="J3" s="35"/>
      <c r="K3" s="35"/>
      <c r="L3" s="35"/>
      <c r="M3" s="35"/>
      <c r="N3" s="35"/>
      <c r="O3" s="35"/>
      <c r="P3" s="35"/>
    </row>
    <row r="4" spans="1:22" s="24" customFormat="1" x14ac:dyDescent="0.25">
      <c r="A4" s="23" t="s">
        <v>112</v>
      </c>
      <c r="B4" s="23" t="s">
        <v>120</v>
      </c>
      <c r="C4" s="22" t="s">
        <v>102</v>
      </c>
      <c r="D4" s="23"/>
      <c r="E4" s="23">
        <f>COUNTA(A4)</f>
        <v>1</v>
      </c>
      <c r="F4" s="23">
        <f>E4+F3</f>
        <v>1</v>
      </c>
      <c r="G4" s="25" t="str">
        <f>IF(A4="","C",IF(F4&lt;=0.2*$A$1,"A",IF(F4&lt;=0.5*$A$1,"B","C")))</f>
        <v>A</v>
      </c>
      <c r="H4" s="34">
        <f>IFERROR((J4*$J$1)+(L4*$L$1)+(N4*$N$1)+(P4*$P$1),0)</f>
        <v>0</v>
      </c>
      <c r="I4" s="22"/>
      <c r="J4" s="26" t="str">
        <f>IFERROR(VLOOKUP(I4,'Auxiliar (Foco interno)'!$A$2:$D$4,4,0),"")</f>
        <v/>
      </c>
      <c r="K4" s="22"/>
      <c r="L4" s="26" t="str">
        <f>IFERROR(VLOOKUP(K4,'Auxiliar (Foco interno)'!$E$2:$H$4,4,0),"")</f>
        <v/>
      </c>
      <c r="M4" s="22"/>
      <c r="N4" s="26" t="str">
        <f>IFERROR(VLOOKUP(M4,'Auxiliar (Foco interno)'!$I$2:$L$4,4,0),"")</f>
        <v/>
      </c>
      <c r="O4" s="22"/>
      <c r="P4" s="26" t="str">
        <f>IFERROR(VLOOKUP(O4,'Auxiliar (Foco interno)'!$M$2:$P$4,4,0),"")</f>
        <v/>
      </c>
    </row>
    <row r="5" spans="1:22" s="24" customFormat="1" x14ac:dyDescent="0.25">
      <c r="A5" s="23" t="s">
        <v>95</v>
      </c>
      <c r="B5" s="23" t="s">
        <v>96</v>
      </c>
      <c r="C5" s="22" t="s">
        <v>15</v>
      </c>
      <c r="D5" s="23"/>
      <c r="E5" s="23">
        <f>COUNTA(A5)</f>
        <v>1</v>
      </c>
      <c r="F5" s="23">
        <f>E5+F4</f>
        <v>2</v>
      </c>
      <c r="G5" s="25" t="str">
        <f>IF(A5="","C",IF(F5&lt;=0.2*$A$1,"A",IF(F5&lt;=0.5*$A$1,"B","C")))</f>
        <v>A</v>
      </c>
      <c r="H5" s="34">
        <f>IFERROR((J5*$J$1)+(L5*$L$1)+(N5*$N$1)+(P5*$P$1),0)</f>
        <v>0</v>
      </c>
      <c r="I5" s="22"/>
      <c r="J5" s="26" t="str">
        <f>IFERROR(VLOOKUP(I5,'Auxiliar (Foco interno)'!$A$2:$D$4,4,0),"")</f>
        <v/>
      </c>
      <c r="K5" s="22"/>
      <c r="L5" s="26" t="str">
        <f>IFERROR(VLOOKUP(K5,'Auxiliar (Foco interno)'!$E$2:$H$4,4,0),"")</f>
        <v/>
      </c>
      <c r="M5" s="22"/>
      <c r="N5" s="26" t="str">
        <f>IFERROR(VLOOKUP(M5,'Auxiliar (Foco interno)'!$I$2:$L$4,4,0),"")</f>
        <v/>
      </c>
      <c r="O5" s="22"/>
      <c r="P5" s="26" t="str">
        <f>IFERROR(VLOOKUP(O5,'Auxiliar (Foco interno)'!$M$2:$P$4,4,0),"")</f>
        <v/>
      </c>
    </row>
    <row r="6" spans="1:22" s="24" customFormat="1" x14ac:dyDescent="0.25">
      <c r="A6" s="23" t="s">
        <v>97</v>
      </c>
      <c r="B6" s="23" t="s">
        <v>98</v>
      </c>
      <c r="C6" s="22" t="s">
        <v>99</v>
      </c>
      <c r="D6" s="23"/>
      <c r="E6" s="23">
        <f>COUNTA(A6)</f>
        <v>1</v>
      </c>
      <c r="F6" s="23">
        <f>E6+F5</f>
        <v>3</v>
      </c>
      <c r="G6" s="25" t="str">
        <f>IF(A6="","C",IF(F6&lt;=0.2*$A$1,"A",IF(F6&lt;=0.5*$A$1,"B","C")))</f>
        <v>A</v>
      </c>
      <c r="H6" s="34">
        <f>IFERROR((J6*$J$1)+(L6*$L$1)+(N6*$N$1)+(P6*$P$1),0)</f>
        <v>0</v>
      </c>
      <c r="I6" s="22"/>
      <c r="J6" s="26" t="str">
        <f>IFERROR(VLOOKUP(I6,'Auxiliar (Foco interno)'!$A$2:$D$4,4,0),"")</f>
        <v/>
      </c>
      <c r="K6" s="22"/>
      <c r="L6" s="26" t="str">
        <f>IFERROR(VLOOKUP(K6,'Auxiliar (Foco interno)'!$E$2:$H$4,4,0),"")</f>
        <v/>
      </c>
      <c r="M6" s="22"/>
      <c r="N6" s="26" t="str">
        <f>IFERROR(VLOOKUP(M6,'Auxiliar (Foco interno)'!$I$2:$L$4,4,0),"")</f>
        <v/>
      </c>
      <c r="O6" s="22"/>
      <c r="P6" s="26" t="str">
        <f>IFERROR(VLOOKUP(O6,'Auxiliar (Foco interno)'!$M$2:$P$4,4,0),"")</f>
        <v/>
      </c>
    </row>
    <row r="7" spans="1:22" s="24" customFormat="1" ht="60" x14ac:dyDescent="0.25">
      <c r="A7" s="23" t="s">
        <v>107</v>
      </c>
      <c r="B7" s="23" t="s">
        <v>118</v>
      </c>
      <c r="C7" s="22" t="s">
        <v>119</v>
      </c>
      <c r="D7" s="23"/>
      <c r="E7" s="23">
        <f>COUNTA(A7)</f>
        <v>1</v>
      </c>
      <c r="F7" s="23">
        <f>E7+F6</f>
        <v>4</v>
      </c>
      <c r="G7" s="25" t="str">
        <f>IF(A7="","C",IF(F7&lt;=0.2*$A$1,"A",IF(F7&lt;=0.5*$A$1,"B","C")))</f>
        <v>A</v>
      </c>
      <c r="H7" s="34">
        <f>IFERROR((J7*$J$1)+(L7*$L$1)+(N7*$N$1)+(P7*$P$1),0)</f>
        <v>0</v>
      </c>
      <c r="I7" s="22"/>
      <c r="J7" s="26" t="str">
        <f>IFERROR(VLOOKUP(I7,'Auxiliar (Foco interno)'!$A$2:$D$4,4,0),"")</f>
        <v/>
      </c>
      <c r="K7" s="22"/>
      <c r="L7" s="26" t="str">
        <f>IFERROR(VLOOKUP(K7,'Auxiliar (Foco interno)'!$E$2:$H$4,4,0),"")</f>
        <v/>
      </c>
      <c r="M7" s="22"/>
      <c r="N7" s="26" t="str">
        <f>IFERROR(VLOOKUP(M7,'Auxiliar (Foco interno)'!$I$2:$L$4,4,0),"")</f>
        <v/>
      </c>
      <c r="O7" s="22"/>
      <c r="P7" s="26" t="str">
        <f>IFERROR(VLOOKUP(O7,'Auxiliar (Foco interno)'!$M$2:$P$4,4,0),"")</f>
        <v/>
      </c>
    </row>
    <row r="8" spans="1:22" ht="60" x14ac:dyDescent="0.25">
      <c r="A8" s="23" t="s">
        <v>110</v>
      </c>
      <c r="B8" s="23" t="s">
        <v>118</v>
      </c>
      <c r="C8" s="22" t="s">
        <v>119</v>
      </c>
      <c r="D8" s="23"/>
      <c r="E8" s="23">
        <f>COUNTA(A8)</f>
        <v>1</v>
      </c>
      <c r="F8" s="23">
        <f>E8+F7</f>
        <v>5</v>
      </c>
      <c r="G8" s="25" t="str">
        <f>IF(A8="","C",IF(F8&lt;=0.2*$A$1,"A",IF(F8&lt;=0.5*$A$1,"B","C")))</f>
        <v>B</v>
      </c>
      <c r="H8" s="34">
        <f>IFERROR((J8*$J$1)+(L8*$L$1)+(N8*$N$1)+(P8*$P$1),0)</f>
        <v>0</v>
      </c>
      <c r="I8" s="22"/>
      <c r="J8" s="26" t="str">
        <f>IFERROR(VLOOKUP(I8,'Auxiliar (Foco interno)'!$A$2:$D$4,4,0),"")</f>
        <v/>
      </c>
      <c r="K8" s="22"/>
      <c r="L8" s="26" t="str">
        <f>IFERROR(VLOOKUP(K8,'Auxiliar (Foco interno)'!$E$2:$H$4,4,0),"")</f>
        <v/>
      </c>
      <c r="M8" s="22"/>
      <c r="N8" s="26" t="str">
        <f>IFERROR(VLOOKUP(M8,'Auxiliar (Foco interno)'!$I$2:$L$4,4,0),"")</f>
        <v/>
      </c>
      <c r="O8" s="22"/>
      <c r="P8" s="26" t="str">
        <f>IFERROR(VLOOKUP(O8,'Auxiliar (Foco interno)'!$M$2:$P$4,4,0),"")</f>
        <v/>
      </c>
      <c r="Q8" s="28"/>
      <c r="R8" s="27"/>
      <c r="S8" s="28"/>
      <c r="T8" s="27"/>
      <c r="U8" s="28"/>
      <c r="V8" s="27"/>
    </row>
    <row r="9" spans="1:22" x14ac:dyDescent="0.25">
      <c r="A9" s="23" t="s">
        <v>114</v>
      </c>
      <c r="B9" s="23" t="s">
        <v>115</v>
      </c>
      <c r="C9" s="22" t="s">
        <v>121</v>
      </c>
      <c r="D9" s="23"/>
      <c r="E9" s="23">
        <f>COUNTA(A9)</f>
        <v>1</v>
      </c>
      <c r="F9" s="23">
        <f>E9+F8</f>
        <v>6</v>
      </c>
      <c r="G9" s="25" t="str">
        <f>IF(A9="","C",IF(F9&lt;=0.2*$A$1,"A",IF(F9&lt;=0.5*$A$1,"B","C")))</f>
        <v>B</v>
      </c>
      <c r="H9" s="34">
        <f>IFERROR((J9*$J$1)+(L9*$L$1)+(N9*$N$1)+(P9*$P$1),0)</f>
        <v>0</v>
      </c>
      <c r="I9" s="22"/>
      <c r="J9" s="26" t="str">
        <f>IFERROR(VLOOKUP(I9,'Auxiliar (Foco interno)'!$A$2:$D$4,4,0),"")</f>
        <v/>
      </c>
      <c r="K9" s="22"/>
      <c r="L9" s="26" t="str">
        <f>IFERROR(VLOOKUP(K9,'Auxiliar (Foco interno)'!$E$2:$H$4,4,0),"")</f>
        <v/>
      </c>
      <c r="M9" s="22"/>
      <c r="N9" s="26" t="str">
        <f>IFERROR(VLOOKUP(M9,'Auxiliar (Foco interno)'!$I$2:$L$4,4,0),"")</f>
        <v/>
      </c>
      <c r="O9" s="22"/>
      <c r="P9" s="26" t="str">
        <f>IFERROR(VLOOKUP(O9,'Auxiliar (Foco interno)'!$M$2:$P$4,4,0),"")</f>
        <v/>
      </c>
      <c r="Q9" s="28"/>
      <c r="R9" s="27"/>
      <c r="S9" s="28"/>
      <c r="T9" s="27"/>
      <c r="U9" s="28"/>
      <c r="V9" s="27"/>
    </row>
    <row r="10" spans="1:22" x14ac:dyDescent="0.25">
      <c r="A10" s="23" t="s">
        <v>85</v>
      </c>
      <c r="B10" s="23" t="s">
        <v>88</v>
      </c>
      <c r="C10" s="22" t="s">
        <v>89</v>
      </c>
      <c r="D10" s="23"/>
      <c r="E10" s="23">
        <f>COUNTA(A10)</f>
        <v>1</v>
      </c>
      <c r="F10" s="23">
        <f>E10+F9</f>
        <v>7</v>
      </c>
      <c r="G10" s="25" t="str">
        <f>IF(A10="","C",IF(F10&lt;=0.2*$A$1,"A",IF(F10&lt;=0.5*$A$1,"B","C")))</f>
        <v>B</v>
      </c>
      <c r="H10" s="34">
        <f>IFERROR((J10*$J$1)+(L10*$L$1)+(N10*$N$1)+(P10*$P$1),0)</f>
        <v>0</v>
      </c>
      <c r="I10" s="22"/>
      <c r="J10" s="26" t="str">
        <f>IFERROR(VLOOKUP(I10,'Auxiliar (Foco interno)'!$A$2:$D$4,4,0),"")</f>
        <v/>
      </c>
      <c r="K10" s="22"/>
      <c r="L10" s="26" t="str">
        <f>IFERROR(VLOOKUP(K10,'Auxiliar (Foco interno)'!$E$2:$H$4,4,0),"")</f>
        <v/>
      </c>
      <c r="M10" s="22"/>
      <c r="N10" s="26" t="str">
        <f>IFERROR(VLOOKUP(M10,'Auxiliar (Foco interno)'!$I$2:$L$4,4,0),"")</f>
        <v/>
      </c>
      <c r="O10" s="22"/>
      <c r="P10" s="26" t="str">
        <f>IFERROR(VLOOKUP(O10,'Auxiliar (Foco interno)'!$M$2:$P$4,4,0),"")</f>
        <v/>
      </c>
      <c r="Q10" s="28"/>
      <c r="R10" s="27"/>
      <c r="S10" s="28"/>
      <c r="T10" s="27"/>
      <c r="U10" s="28"/>
      <c r="V10" s="27"/>
    </row>
    <row r="11" spans="1:22" x14ac:dyDescent="0.25">
      <c r="A11" s="23" t="s">
        <v>100</v>
      </c>
      <c r="B11" s="23" t="s">
        <v>115</v>
      </c>
      <c r="C11" s="22"/>
      <c r="D11" s="23"/>
      <c r="E11" s="23">
        <f>COUNTA(A11)</f>
        <v>1</v>
      </c>
      <c r="F11" s="23">
        <f>E11+F10</f>
        <v>8</v>
      </c>
      <c r="G11" s="25" t="str">
        <f>IF(A11="","C",IF(F11&lt;=0.2*$A$1,"A",IF(F11&lt;=0.5*$A$1,"B","C")))</f>
        <v>B</v>
      </c>
      <c r="H11" s="34">
        <f>IFERROR((J11*$J$1)+(L11*$L$1)+(N11*$N$1)+(P11*$P$1),0)</f>
        <v>0</v>
      </c>
      <c r="I11" s="22"/>
      <c r="J11" s="26" t="str">
        <f>IFERROR(VLOOKUP(I11,'Auxiliar (Foco interno)'!$A$2:$D$4,4,0),"")</f>
        <v/>
      </c>
      <c r="K11" s="22"/>
      <c r="L11" s="26" t="str">
        <f>IFERROR(VLOOKUP(K11,'Auxiliar (Foco interno)'!$E$2:$H$4,4,0),"")</f>
        <v/>
      </c>
      <c r="M11" s="22"/>
      <c r="N11" s="26" t="str">
        <f>IFERROR(VLOOKUP(M11,'Auxiliar (Foco interno)'!$I$2:$L$4,4,0),"")</f>
        <v/>
      </c>
      <c r="O11" s="22"/>
      <c r="P11" s="26" t="str">
        <f>IFERROR(VLOOKUP(O11,'Auxiliar (Foco interno)'!$M$2:$P$4,4,0),"")</f>
        <v/>
      </c>
      <c r="Q11" s="28"/>
      <c r="R11" s="27"/>
      <c r="S11" s="28"/>
      <c r="T11" s="27"/>
      <c r="U11" s="28"/>
      <c r="V11" s="27"/>
    </row>
    <row r="12" spans="1:22" x14ac:dyDescent="0.25">
      <c r="A12" s="23" t="s">
        <v>101</v>
      </c>
      <c r="B12" s="23" t="s">
        <v>116</v>
      </c>
      <c r="C12" s="22"/>
      <c r="D12" s="23"/>
      <c r="E12" s="23">
        <f>COUNTA(A12)</f>
        <v>1</v>
      </c>
      <c r="F12" s="23">
        <f>E12+F11</f>
        <v>9</v>
      </c>
      <c r="G12" s="25" t="str">
        <f>IF(A12="","C",IF(F12&lt;=0.2*$A$1,"A",IF(F12&lt;=0.5*$A$1,"B","C")))</f>
        <v>B</v>
      </c>
      <c r="H12" s="34">
        <f>IFERROR((J12*$J$1)+(L12*$L$1)+(N12*$N$1)+(P12*$P$1),0)</f>
        <v>0</v>
      </c>
      <c r="I12" s="22"/>
      <c r="J12" s="26" t="str">
        <f>IFERROR(VLOOKUP(I12,'Auxiliar (Foco interno)'!$A$2:$D$4,4,0),"")</f>
        <v/>
      </c>
      <c r="K12" s="22"/>
      <c r="L12" s="26" t="str">
        <f>IFERROR(VLOOKUP(K12,'Auxiliar (Foco interno)'!$E$2:$H$4,4,0),"")</f>
        <v/>
      </c>
      <c r="M12" s="22"/>
      <c r="N12" s="26" t="str">
        <f>IFERROR(VLOOKUP(M12,'Auxiliar (Foco interno)'!$I$2:$L$4,4,0),"")</f>
        <v/>
      </c>
      <c r="O12" s="22"/>
      <c r="P12" s="26" t="str">
        <f>IFERROR(VLOOKUP(O12,'Auxiliar (Foco interno)'!$M$2:$P$4,4,0),"")</f>
        <v/>
      </c>
      <c r="Q12" s="28"/>
      <c r="R12" s="27"/>
      <c r="S12" s="28"/>
      <c r="T12" s="27"/>
      <c r="U12" s="28"/>
      <c r="V12" s="27"/>
    </row>
    <row r="13" spans="1:22" x14ac:dyDescent="0.25">
      <c r="A13" s="23" t="s">
        <v>102</v>
      </c>
      <c r="B13" s="23" t="s">
        <v>117</v>
      </c>
      <c r="C13" s="22" t="s">
        <v>112</v>
      </c>
      <c r="D13" s="23"/>
      <c r="E13" s="23">
        <f>COUNTA(A13)</f>
        <v>1</v>
      </c>
      <c r="F13" s="23">
        <f>E13+F12</f>
        <v>10</v>
      </c>
      <c r="G13" s="25" t="str">
        <f>IF(A13="","C",IF(F13&lt;=0.2*$A$1,"A",IF(F13&lt;=0.5*$A$1,"B","C")))</f>
        <v>B</v>
      </c>
      <c r="H13" s="34">
        <f>IFERROR((J13*$J$1)+(L13*$L$1)+(N13*$N$1)+(P13*$P$1),0)</f>
        <v>0</v>
      </c>
      <c r="I13" s="22"/>
      <c r="J13" s="26" t="str">
        <f>IFERROR(VLOOKUP(I13,'Auxiliar (Foco interno)'!$A$2:$D$4,4,0),"")</f>
        <v/>
      </c>
      <c r="K13" s="22"/>
      <c r="L13" s="26" t="str">
        <f>IFERROR(VLOOKUP(K13,'Auxiliar (Foco interno)'!$E$2:$H$4,4,0),"")</f>
        <v/>
      </c>
      <c r="M13" s="22"/>
      <c r="N13" s="26" t="str">
        <f>IFERROR(VLOOKUP(M13,'Auxiliar (Foco interno)'!$I$2:$L$4,4,0),"")</f>
        <v/>
      </c>
      <c r="O13" s="22"/>
      <c r="P13" s="26" t="str">
        <f>IFERROR(VLOOKUP(O13,'Auxiliar (Foco interno)'!$M$2:$P$4,4,0),"")</f>
        <v/>
      </c>
      <c r="Q13" s="28"/>
      <c r="R13" s="27"/>
      <c r="S13" s="28"/>
      <c r="T13" s="27"/>
      <c r="U13" s="28"/>
      <c r="V13" s="27"/>
    </row>
    <row r="14" spans="1:22" ht="60" x14ac:dyDescent="0.25">
      <c r="A14" s="23" t="s">
        <v>103</v>
      </c>
      <c r="B14" s="23" t="s">
        <v>118</v>
      </c>
      <c r="C14" s="22" t="s">
        <v>119</v>
      </c>
      <c r="D14" s="23"/>
      <c r="E14" s="23">
        <f>COUNTA(A14)</f>
        <v>1</v>
      </c>
      <c r="F14" s="23">
        <f>E14+F13</f>
        <v>11</v>
      </c>
      <c r="G14" s="25" t="str">
        <f>IF(A14="","C",IF(F14&lt;=0.2*$A$1,"A",IF(F14&lt;=0.5*$A$1,"B","C")))</f>
        <v>C</v>
      </c>
      <c r="H14" s="34">
        <f>IFERROR((J14*$J$1)+(L14*$L$1)+(N14*$N$1)+(P14*$P$1),0)</f>
        <v>0</v>
      </c>
      <c r="I14" s="22"/>
      <c r="J14" s="26" t="str">
        <f>IFERROR(VLOOKUP(I14,'Auxiliar (Foco interno)'!$A$2:$D$4,4,0),"")</f>
        <v/>
      </c>
      <c r="K14" s="22"/>
      <c r="L14" s="26" t="str">
        <f>IFERROR(VLOOKUP(K14,'Auxiliar (Foco interno)'!$E$2:$H$4,4,0),"")</f>
        <v/>
      </c>
      <c r="M14" s="22"/>
      <c r="N14" s="26" t="str">
        <f>IFERROR(VLOOKUP(M14,'Auxiliar (Foco interno)'!$I$2:$L$4,4,0),"")</f>
        <v/>
      </c>
      <c r="O14" s="22"/>
      <c r="P14" s="26" t="str">
        <f>IFERROR(VLOOKUP(O14,'Auxiliar (Foco interno)'!$M$2:$P$4,4,0),"")</f>
        <v/>
      </c>
      <c r="Q14" s="28"/>
      <c r="R14" s="27"/>
      <c r="S14" s="28"/>
      <c r="T14" s="27"/>
      <c r="U14" s="28"/>
      <c r="V14" s="27"/>
    </row>
    <row r="15" spans="1:22" ht="60" x14ac:dyDescent="0.25">
      <c r="A15" s="23" t="s">
        <v>104</v>
      </c>
      <c r="B15" s="23" t="s">
        <v>118</v>
      </c>
      <c r="C15" s="22" t="s">
        <v>119</v>
      </c>
      <c r="D15" s="23"/>
      <c r="E15" s="23">
        <f>COUNTA(A15)</f>
        <v>1</v>
      </c>
      <c r="F15" s="23">
        <f>E15+F14</f>
        <v>12</v>
      </c>
      <c r="G15" s="25" t="str">
        <f>IF(A15="","C",IF(F15&lt;=0.2*$A$1,"A",IF(F15&lt;=0.5*$A$1,"B","C")))</f>
        <v>C</v>
      </c>
      <c r="H15" s="34">
        <f>IFERROR((J15*$J$1)+(L15*$L$1)+(N15*$N$1)+(P15*$P$1),0)</f>
        <v>0</v>
      </c>
      <c r="I15" s="22"/>
      <c r="J15" s="26" t="str">
        <f>IFERROR(VLOOKUP(I15,'Auxiliar (Foco interno)'!$A$2:$D$4,4,0),"")</f>
        <v/>
      </c>
      <c r="K15" s="22"/>
      <c r="L15" s="26" t="str">
        <f>IFERROR(VLOOKUP(K15,'Auxiliar (Foco interno)'!$E$2:$H$4,4,0),"")</f>
        <v/>
      </c>
      <c r="M15" s="22"/>
      <c r="N15" s="26" t="str">
        <f>IFERROR(VLOOKUP(M15,'Auxiliar (Foco interno)'!$I$2:$L$4,4,0),"")</f>
        <v/>
      </c>
      <c r="O15" s="22"/>
      <c r="P15" s="26" t="str">
        <f>IFERROR(VLOOKUP(O15,'Auxiliar (Foco interno)'!$M$2:$P$4,4,0),"")</f>
        <v/>
      </c>
      <c r="Q15" s="28"/>
      <c r="R15" s="27"/>
      <c r="S15" s="28"/>
      <c r="T15" s="27"/>
      <c r="U15" s="28"/>
      <c r="V15" s="27"/>
    </row>
    <row r="16" spans="1:22" ht="60" x14ac:dyDescent="0.25">
      <c r="A16" s="23" t="s">
        <v>105</v>
      </c>
      <c r="B16" s="23" t="s">
        <v>118</v>
      </c>
      <c r="C16" s="22" t="s">
        <v>119</v>
      </c>
      <c r="D16" s="23"/>
      <c r="E16" s="23">
        <f>COUNTA(A16)</f>
        <v>1</v>
      </c>
      <c r="F16" s="23">
        <f>E16+F15</f>
        <v>13</v>
      </c>
      <c r="G16" s="25" t="str">
        <f>IF(A16="","C",IF(F16&lt;=0.2*$A$1,"A",IF(F16&lt;=0.5*$A$1,"B","C")))</f>
        <v>C</v>
      </c>
      <c r="H16" s="34">
        <f>IFERROR((J16*$J$1)+(L16*$L$1)+(N16*$N$1)+(P16*$P$1),0)</f>
        <v>0</v>
      </c>
      <c r="I16" s="22"/>
      <c r="J16" s="26" t="str">
        <f>IFERROR(VLOOKUP(I16,'Auxiliar (Foco interno)'!$A$2:$D$4,4,0),"")</f>
        <v/>
      </c>
      <c r="K16" s="22"/>
      <c r="L16" s="26" t="str">
        <f>IFERROR(VLOOKUP(K16,'Auxiliar (Foco interno)'!$E$2:$H$4,4,0),"")</f>
        <v/>
      </c>
      <c r="M16" s="22"/>
      <c r="N16" s="26" t="str">
        <f>IFERROR(VLOOKUP(M16,'Auxiliar (Foco interno)'!$I$2:$L$4,4,0),"")</f>
        <v/>
      </c>
      <c r="O16" s="22"/>
      <c r="P16" s="26" t="str">
        <f>IFERROR(VLOOKUP(O16,'Auxiliar (Foco interno)'!$M$2:$P$4,4,0),"")</f>
        <v/>
      </c>
      <c r="Q16" s="28"/>
      <c r="R16" s="27"/>
      <c r="S16" s="28"/>
      <c r="T16" s="27"/>
      <c r="U16" s="28"/>
      <c r="V16" s="27"/>
    </row>
    <row r="17" spans="1:22" ht="60" x14ac:dyDescent="0.25">
      <c r="A17" s="23" t="s">
        <v>109</v>
      </c>
      <c r="B17" s="23" t="s">
        <v>118</v>
      </c>
      <c r="C17" s="22" t="s">
        <v>119</v>
      </c>
      <c r="D17" s="23"/>
      <c r="E17" s="23">
        <f>COUNTA(A17)</f>
        <v>1</v>
      </c>
      <c r="F17" s="23">
        <f>E17+F16</f>
        <v>14</v>
      </c>
      <c r="G17" s="25" t="str">
        <f>IF(A17="","C",IF(F17&lt;=0.2*$A$1,"A",IF(F17&lt;=0.5*$A$1,"B","C")))</f>
        <v>C</v>
      </c>
      <c r="H17" s="34">
        <f>IFERROR((J17*$J$1)+(L17*$L$1)+(N17*$N$1)+(P17*$P$1),0)</f>
        <v>0</v>
      </c>
      <c r="I17" s="22"/>
      <c r="J17" s="26" t="str">
        <f>IFERROR(VLOOKUP(I17,'Auxiliar (Foco interno)'!$A$2:$D$4,4,0),"")</f>
        <v/>
      </c>
      <c r="K17" s="22"/>
      <c r="L17" s="26" t="str">
        <f>IFERROR(VLOOKUP(K17,'Auxiliar (Foco interno)'!$E$2:$H$4,4,0),"")</f>
        <v/>
      </c>
      <c r="M17" s="22"/>
      <c r="N17" s="26" t="str">
        <f>IFERROR(VLOOKUP(M17,'Auxiliar (Foco interno)'!$I$2:$L$4,4,0),"")</f>
        <v/>
      </c>
      <c r="O17" s="22"/>
      <c r="P17" s="26" t="str">
        <f>IFERROR(VLOOKUP(O17,'Auxiliar (Foco interno)'!$M$2:$P$4,4,0),"")</f>
        <v/>
      </c>
    </row>
    <row r="18" spans="1:22" s="32" customFormat="1" ht="30" x14ac:dyDescent="0.25">
      <c r="A18" s="23" t="s">
        <v>111</v>
      </c>
      <c r="B18" s="23" t="s">
        <v>115</v>
      </c>
      <c r="C18" s="22" t="s">
        <v>94</v>
      </c>
      <c r="D18" s="23"/>
      <c r="E18" s="23">
        <f>COUNTA(A18)</f>
        <v>1</v>
      </c>
      <c r="F18" s="23">
        <f>E18+F17</f>
        <v>15</v>
      </c>
      <c r="G18" s="25" t="str">
        <f>IF(A18="","C",IF(F18&lt;=0.2*$A$1,"A",IF(F18&lt;=0.5*$A$1,"B","C")))</f>
        <v>C</v>
      </c>
      <c r="H18" s="34">
        <f>IFERROR((J18*$J$1)+(L18*$L$1)+(N18*$N$1)+(P18*$P$1),0)</f>
        <v>0</v>
      </c>
      <c r="I18" s="22"/>
      <c r="J18" s="26" t="str">
        <f>IFERROR(VLOOKUP(I18,'Auxiliar (Foco interno)'!$A$2:$D$4,4,0),"")</f>
        <v/>
      </c>
      <c r="K18" s="22"/>
      <c r="L18" s="26" t="str">
        <f>IFERROR(VLOOKUP(K18,'Auxiliar (Foco interno)'!$E$2:$H$4,4,0),"")</f>
        <v/>
      </c>
      <c r="M18" s="22"/>
      <c r="N18" s="26" t="str">
        <f>IFERROR(VLOOKUP(M18,'Auxiliar (Foco interno)'!$I$2:$L$4,4,0),"")</f>
        <v/>
      </c>
      <c r="O18" s="22"/>
      <c r="P18" s="26" t="str">
        <f>IFERROR(VLOOKUP(O18,'Auxiliar (Foco interno)'!$M$2:$P$4,4,0),"")</f>
        <v/>
      </c>
      <c r="Q18" s="31"/>
      <c r="R18" s="30"/>
      <c r="S18" s="31"/>
      <c r="T18" s="30"/>
      <c r="U18" s="31"/>
      <c r="V18" s="30"/>
    </row>
    <row r="19" spans="1:22" x14ac:dyDescent="0.25">
      <c r="A19" s="23" t="s">
        <v>113</v>
      </c>
      <c r="B19" s="23" t="s">
        <v>122</v>
      </c>
      <c r="C19" s="22"/>
      <c r="D19" s="23"/>
      <c r="E19" s="23">
        <f>COUNTA(A19)</f>
        <v>1</v>
      </c>
      <c r="F19" s="23">
        <f>E19+F18</f>
        <v>16</v>
      </c>
      <c r="G19" s="25" t="str">
        <f>IF(A19="","C",IF(F19&lt;=0.2*$A$1,"A",IF(F19&lt;=0.5*$A$1,"B","C")))</f>
        <v>C</v>
      </c>
      <c r="H19" s="34">
        <f>IFERROR((J19*$J$1)+(L19*$L$1)+(N19*$N$1)+(P19*$P$1),0)</f>
        <v>0</v>
      </c>
      <c r="I19" s="22"/>
      <c r="J19" s="26" t="str">
        <f>IFERROR(VLOOKUP(I19,'Auxiliar (Foco interno)'!$A$2:$D$4,4,0),"")</f>
        <v/>
      </c>
      <c r="K19" s="22"/>
      <c r="L19" s="26" t="str">
        <f>IFERROR(VLOOKUP(K19,'Auxiliar (Foco interno)'!$E$2:$H$4,4,0),"")</f>
        <v/>
      </c>
      <c r="M19" s="22"/>
      <c r="N19" s="26" t="str">
        <f>IFERROR(VLOOKUP(M19,'Auxiliar (Foco interno)'!$I$2:$L$4,4,0),"")</f>
        <v/>
      </c>
      <c r="O19" s="22"/>
      <c r="P19" s="26" t="str">
        <f>IFERROR(VLOOKUP(O19,'Auxiliar (Foco interno)'!$M$2:$P$4,4,0),"")</f>
        <v/>
      </c>
      <c r="Q19" s="28"/>
      <c r="R19" s="27"/>
      <c r="S19" s="28"/>
      <c r="T19" s="27"/>
      <c r="U19" s="28"/>
      <c r="V19" s="27"/>
    </row>
    <row r="20" spans="1:22" ht="30" x14ac:dyDescent="0.25">
      <c r="A20" s="23" t="s">
        <v>92</v>
      </c>
      <c r="B20" s="23" t="s">
        <v>93</v>
      </c>
      <c r="C20" s="22" t="s">
        <v>94</v>
      </c>
      <c r="D20" s="23"/>
      <c r="E20" s="23">
        <f>COUNTA(A20)</f>
        <v>1</v>
      </c>
      <c r="F20" s="23">
        <f>E20+F19</f>
        <v>17</v>
      </c>
      <c r="G20" s="25" t="str">
        <f>IF(A20="","C",IF(F20&lt;=0.2*$A$1,"A",IF(F20&lt;=0.5*$A$1,"B","C")))</f>
        <v>C</v>
      </c>
      <c r="H20" s="34">
        <f>IFERROR((J20*$J$1)+(L20*$L$1)+(N20*$N$1)+(P20*$P$1),0)</f>
        <v>0</v>
      </c>
      <c r="I20" s="22"/>
      <c r="J20" s="26" t="str">
        <f>IFERROR(VLOOKUP(I20,'Auxiliar (Foco interno)'!$A$2:$D$4,4,0),"")</f>
        <v/>
      </c>
      <c r="K20" s="22"/>
      <c r="L20" s="26" t="str">
        <f>IFERROR(VLOOKUP(K20,'Auxiliar (Foco interno)'!$E$2:$H$4,4,0),"")</f>
        <v/>
      </c>
      <c r="M20" s="22"/>
      <c r="N20" s="26" t="str">
        <f>IFERROR(VLOOKUP(M20,'Auxiliar (Foco interno)'!$I$2:$L$4,4,0),"")</f>
        <v/>
      </c>
      <c r="O20" s="22"/>
      <c r="P20" s="26" t="str">
        <f>IFERROR(VLOOKUP(O20,'Auxiliar (Foco interno)'!$M$2:$P$4,4,0),"")</f>
        <v/>
      </c>
      <c r="Q20" s="28"/>
      <c r="R20" s="27"/>
      <c r="S20" s="28"/>
      <c r="T20" s="27"/>
      <c r="U20" s="28"/>
      <c r="V20" s="27"/>
    </row>
    <row r="21" spans="1:22" ht="60" x14ac:dyDescent="0.25">
      <c r="A21" s="23" t="s">
        <v>108</v>
      </c>
      <c r="B21" s="23" t="s">
        <v>118</v>
      </c>
      <c r="C21" s="22" t="s">
        <v>119</v>
      </c>
      <c r="D21" s="23"/>
      <c r="E21" s="23">
        <f>COUNTA(A21)</f>
        <v>1</v>
      </c>
      <c r="F21" s="23">
        <f>E21+F20</f>
        <v>18</v>
      </c>
      <c r="G21" s="25" t="str">
        <f>IF(A21="","C",IF(F21&lt;=0.2*$A$1,"A",IF(F21&lt;=0.5*$A$1,"B","C")))</f>
        <v>C</v>
      </c>
      <c r="H21" s="34">
        <f>IFERROR((J21*$J$1)+(L21*$L$1)+(N21*$N$1)+(P21*$P$1),0)</f>
        <v>0</v>
      </c>
      <c r="I21" s="22"/>
      <c r="J21" s="26" t="str">
        <f>IFERROR(VLOOKUP(I21,'Auxiliar (Foco interno)'!$A$2:$D$4,4,0),"")</f>
        <v/>
      </c>
      <c r="K21" s="22"/>
      <c r="L21" s="26" t="str">
        <f>IFERROR(VLOOKUP(K21,'Auxiliar (Foco interno)'!$E$2:$H$4,4,0),"")</f>
        <v/>
      </c>
      <c r="M21" s="22"/>
      <c r="N21" s="26" t="str">
        <f>IFERROR(VLOOKUP(M21,'Auxiliar (Foco interno)'!$I$2:$L$4,4,0),"")</f>
        <v/>
      </c>
      <c r="O21" s="22"/>
      <c r="P21" s="26" t="str">
        <f>IFERROR(VLOOKUP(O21,'Auxiliar (Foco interno)'!$M$2:$P$4,4,0),"")</f>
        <v/>
      </c>
      <c r="Q21" s="28"/>
      <c r="R21" s="27"/>
      <c r="S21" s="28"/>
      <c r="T21" s="27"/>
      <c r="U21" s="28"/>
      <c r="V21" s="27"/>
    </row>
    <row r="22" spans="1:22" ht="30" x14ac:dyDescent="0.25">
      <c r="A22" s="23" t="s">
        <v>86</v>
      </c>
      <c r="B22" s="23" t="s">
        <v>90</v>
      </c>
      <c r="C22" s="22" t="s">
        <v>91</v>
      </c>
      <c r="D22" s="23"/>
      <c r="E22" s="23">
        <f>COUNTA(A22)</f>
        <v>1</v>
      </c>
      <c r="F22" s="23">
        <f>E22+F21</f>
        <v>19</v>
      </c>
      <c r="G22" s="25" t="str">
        <f>IF(A22="","C",IF(F22&lt;=0.2*$A$1,"A",IF(F22&lt;=0.5*$A$1,"B","C")))</f>
        <v>C</v>
      </c>
      <c r="H22" s="34">
        <f>IFERROR((J22*$J$1)+(L22*$L$1)+(N22*$N$1)+(P22*$P$1),0)</f>
        <v>0</v>
      </c>
      <c r="I22" s="22"/>
      <c r="J22" s="26" t="str">
        <f>IFERROR(VLOOKUP(I22,'Auxiliar (Foco interno)'!$A$2:$D$4,4,0),"")</f>
        <v/>
      </c>
      <c r="K22" s="22"/>
      <c r="L22" s="26" t="str">
        <f>IFERROR(VLOOKUP(K22,'Auxiliar (Foco interno)'!$E$2:$H$4,4,0),"")</f>
        <v/>
      </c>
      <c r="M22" s="22"/>
      <c r="N22" s="26" t="str">
        <f>IFERROR(VLOOKUP(M22,'Auxiliar (Foco interno)'!$I$2:$L$4,4,0),"")</f>
        <v/>
      </c>
      <c r="O22" s="22"/>
      <c r="P22" s="26" t="str">
        <f>IFERROR(VLOOKUP(O22,'Auxiliar (Foco interno)'!$M$2:$P$4,4,0),"")</f>
        <v/>
      </c>
      <c r="Q22" s="28"/>
      <c r="R22" s="27"/>
      <c r="S22" s="28"/>
      <c r="T22" s="27"/>
      <c r="U22" s="28"/>
      <c r="V22" s="27"/>
    </row>
    <row r="23" spans="1:22" ht="60" x14ac:dyDescent="0.25">
      <c r="A23" s="23" t="s">
        <v>106</v>
      </c>
      <c r="B23" s="23" t="s">
        <v>118</v>
      </c>
      <c r="C23" s="22" t="s">
        <v>119</v>
      </c>
      <c r="D23" s="23"/>
      <c r="E23" s="23">
        <f>COUNTA(A23)</f>
        <v>1</v>
      </c>
      <c r="F23" s="23">
        <f>E23+F22</f>
        <v>20</v>
      </c>
      <c r="G23" s="25" t="str">
        <f>IF(A23="","C",IF(F23&lt;=0.2*$A$1,"A",IF(F23&lt;=0.5*$A$1,"B","C")))</f>
        <v>C</v>
      </c>
      <c r="H23" s="34">
        <f>IFERROR((J23*$J$1)+(L23*$L$1)+(N23*$N$1)+(P23*$P$1),0)</f>
        <v>0</v>
      </c>
      <c r="I23" s="22"/>
      <c r="J23" s="26" t="str">
        <f>IFERROR(VLOOKUP(I23,'Auxiliar (Foco interno)'!$A$2:$D$4,4,0),"")</f>
        <v/>
      </c>
      <c r="K23" s="22"/>
      <c r="L23" s="26" t="str">
        <f>IFERROR(VLOOKUP(K23,'Auxiliar (Foco interno)'!$E$2:$H$4,4,0),"")</f>
        <v/>
      </c>
      <c r="M23" s="22"/>
      <c r="N23" s="26" t="str">
        <f>IFERROR(VLOOKUP(M23,'Auxiliar (Foco interno)'!$I$2:$L$4,4,0),"")</f>
        <v/>
      </c>
      <c r="O23" s="22"/>
      <c r="P23" s="26" t="str">
        <f>IFERROR(VLOOKUP(O23,'Auxiliar (Foco interno)'!$M$2:$P$4,4,0),"")</f>
        <v/>
      </c>
    </row>
    <row r="24" spans="1:22" x14ac:dyDescent="0.25">
      <c r="A24" s="23"/>
      <c r="B24" s="23"/>
      <c r="C24" s="22"/>
      <c r="D24" s="23"/>
      <c r="E24" s="23">
        <f>COUNTA(A24)</f>
        <v>0</v>
      </c>
      <c r="F24" s="23">
        <f>E24+F23</f>
        <v>20</v>
      </c>
      <c r="G24" s="25" t="str">
        <f>IF(A24="","C",IF(F24&lt;=0.2*$A$1,"A",IF(F24&lt;=0.5*$A$1,"B","C")))</f>
        <v>C</v>
      </c>
      <c r="H24" s="34">
        <f t="shared" ref="H5:H68" si="0">IFERROR((J24*$J$1)+(L24*$L$1)+(N24*$N$1)+(P24*$P$1),0)</f>
        <v>0</v>
      </c>
      <c r="I24" s="22"/>
      <c r="J24" s="26" t="str">
        <f>IFERROR(VLOOKUP(I24,'Auxiliar (Foco interno)'!$A$2:$D$4,4,0),"")</f>
        <v/>
      </c>
      <c r="K24" s="22"/>
      <c r="L24" s="26" t="str">
        <f>IFERROR(VLOOKUP(K24,'Auxiliar (Foco interno)'!$E$2:$H$4,4,0),"")</f>
        <v/>
      </c>
      <c r="M24" s="22"/>
      <c r="N24" s="26" t="str">
        <f>IFERROR(VLOOKUP(M24,'Auxiliar (Foco interno)'!$I$2:$L$4,4,0),"")</f>
        <v/>
      </c>
      <c r="O24" s="22"/>
      <c r="P24" s="26" t="str">
        <f>IFERROR(VLOOKUP(O24,'Auxiliar (Foco interno)'!$M$2:$P$4,4,0),"")</f>
        <v/>
      </c>
    </row>
    <row r="25" spans="1:22" x14ac:dyDescent="0.25">
      <c r="A25" s="23"/>
      <c r="B25" s="23"/>
      <c r="C25" s="22"/>
      <c r="D25" s="23"/>
      <c r="E25" s="23">
        <f>COUNTA(A25)</f>
        <v>0</v>
      </c>
      <c r="F25" s="23">
        <f>E25+F24</f>
        <v>20</v>
      </c>
      <c r="G25" s="25" t="str">
        <f>IF(A25="","C",IF(F25&lt;=0.2*$A$1,"A",IF(F25&lt;=0.5*$A$1,"B","C")))</f>
        <v>C</v>
      </c>
      <c r="H25" s="34">
        <f t="shared" si="0"/>
        <v>0</v>
      </c>
      <c r="I25" s="22"/>
      <c r="J25" s="26" t="str">
        <f>IFERROR(VLOOKUP(I25,'Auxiliar (Foco interno)'!$A$2:$D$4,4,0),"")</f>
        <v/>
      </c>
      <c r="K25" s="22"/>
      <c r="L25" s="26" t="str">
        <f>IFERROR(VLOOKUP(K25,'Auxiliar (Foco interno)'!$E$2:$H$4,4,0),"")</f>
        <v/>
      </c>
      <c r="M25" s="22"/>
      <c r="N25" s="26" t="str">
        <f>IFERROR(VLOOKUP(M25,'Auxiliar (Foco interno)'!$I$2:$L$4,4,0),"")</f>
        <v/>
      </c>
      <c r="O25" s="22"/>
      <c r="P25" s="26" t="str">
        <f>IFERROR(VLOOKUP(O25,'Auxiliar (Foco interno)'!$M$2:$P$4,4,0),"")</f>
        <v/>
      </c>
    </row>
    <row r="26" spans="1:22" x14ac:dyDescent="0.25">
      <c r="A26" s="23"/>
      <c r="B26" s="23"/>
      <c r="C26" s="22"/>
      <c r="D26" s="23"/>
      <c r="E26" s="23">
        <f>COUNTA(A26)</f>
        <v>0</v>
      </c>
      <c r="F26" s="23">
        <f>E26+F25</f>
        <v>20</v>
      </c>
      <c r="G26" s="25" t="str">
        <f>IF(A26="","C",IF(F26&lt;=0.2*$A$1,"A",IF(F26&lt;=0.5*$A$1,"B","C")))</f>
        <v>C</v>
      </c>
      <c r="H26" s="34">
        <f t="shared" si="0"/>
        <v>0</v>
      </c>
      <c r="I26" s="22"/>
      <c r="J26" s="26" t="str">
        <f>IFERROR(VLOOKUP(I26,'Auxiliar (Foco interno)'!$A$2:$D$4,4,0),"")</f>
        <v/>
      </c>
      <c r="K26" s="22"/>
      <c r="L26" s="26" t="str">
        <f>IFERROR(VLOOKUP(K26,'Auxiliar (Foco interno)'!$E$2:$H$4,4,0),"")</f>
        <v/>
      </c>
      <c r="M26" s="22"/>
      <c r="N26" s="26" t="str">
        <f>IFERROR(VLOOKUP(M26,'Auxiliar (Foco interno)'!$I$2:$L$4,4,0),"")</f>
        <v/>
      </c>
      <c r="O26" s="22"/>
      <c r="P26" s="26" t="str">
        <f>IFERROR(VLOOKUP(O26,'Auxiliar (Foco interno)'!$M$2:$P$4,4,0),"")</f>
        <v/>
      </c>
    </row>
    <row r="27" spans="1:22" x14ac:dyDescent="0.25">
      <c r="A27" s="23"/>
      <c r="B27" s="23"/>
      <c r="C27" s="22"/>
      <c r="D27" s="23"/>
      <c r="E27" s="23">
        <f>COUNTA(A27)</f>
        <v>0</v>
      </c>
      <c r="F27" s="23">
        <f>E27+F26</f>
        <v>20</v>
      </c>
      <c r="G27" s="25" t="str">
        <f>IF(A27="","C",IF(F27&lt;=0.2*$A$1,"A",IF(F27&lt;=0.5*$A$1,"B","C")))</f>
        <v>C</v>
      </c>
      <c r="H27" s="34">
        <f t="shared" si="0"/>
        <v>0</v>
      </c>
      <c r="I27" s="22"/>
      <c r="J27" s="26" t="str">
        <f>IFERROR(VLOOKUP(I27,'Auxiliar (Foco interno)'!$A$2:$D$4,4,0),"")</f>
        <v/>
      </c>
      <c r="K27" s="22"/>
      <c r="L27" s="26" t="str">
        <f>IFERROR(VLOOKUP(K27,'Auxiliar (Foco interno)'!$E$2:$H$4,4,0),"")</f>
        <v/>
      </c>
      <c r="M27" s="22"/>
      <c r="N27" s="26" t="str">
        <f>IFERROR(VLOOKUP(M27,'Auxiliar (Foco interno)'!$I$2:$L$4,4,0),"")</f>
        <v/>
      </c>
      <c r="O27" s="22"/>
      <c r="P27" s="26" t="str">
        <f>IFERROR(VLOOKUP(O27,'Auxiliar (Foco interno)'!$M$2:$P$4,4,0),"")</f>
        <v/>
      </c>
    </row>
    <row r="28" spans="1:22" x14ac:dyDescent="0.25">
      <c r="A28" s="23"/>
      <c r="B28" s="23"/>
      <c r="C28" s="22"/>
      <c r="D28" s="23"/>
      <c r="E28" s="23">
        <f>COUNTA(A28)</f>
        <v>0</v>
      </c>
      <c r="F28" s="23">
        <f>E28+F27</f>
        <v>20</v>
      </c>
      <c r="G28" s="25" t="str">
        <f>IF(A28="","C",IF(F28&lt;=0.2*$A$1,"A",IF(F28&lt;=0.5*$A$1,"B","C")))</f>
        <v>C</v>
      </c>
      <c r="H28" s="34">
        <f t="shared" si="0"/>
        <v>0</v>
      </c>
      <c r="I28" s="22"/>
      <c r="J28" s="26" t="str">
        <f>IFERROR(VLOOKUP(I28,'Auxiliar (Foco interno)'!$A$2:$D$4,4,0),"")</f>
        <v/>
      </c>
      <c r="K28" s="22"/>
      <c r="L28" s="26" t="str">
        <f>IFERROR(VLOOKUP(K28,'Auxiliar (Foco interno)'!$E$2:$H$4,4,0),"")</f>
        <v/>
      </c>
      <c r="M28" s="22"/>
      <c r="N28" s="26" t="str">
        <f>IFERROR(VLOOKUP(M28,'Auxiliar (Foco interno)'!$I$2:$L$4,4,0),"")</f>
        <v/>
      </c>
      <c r="O28" s="22"/>
      <c r="P28" s="26" t="str">
        <f>IFERROR(VLOOKUP(O28,'Auxiliar (Foco interno)'!$M$2:$P$4,4,0),"")</f>
        <v/>
      </c>
    </row>
    <row r="29" spans="1:22" x14ac:dyDescent="0.25">
      <c r="A29" s="23"/>
      <c r="B29" s="23"/>
      <c r="C29" s="22"/>
      <c r="D29" s="23"/>
      <c r="E29" s="23">
        <f>COUNTA(A29)</f>
        <v>0</v>
      </c>
      <c r="F29" s="23">
        <f>E29+F28</f>
        <v>20</v>
      </c>
      <c r="G29" s="25" t="str">
        <f>IF(A29="","C",IF(F29&lt;=0.2*$A$1,"A",IF(F29&lt;=0.5*$A$1,"B","C")))</f>
        <v>C</v>
      </c>
      <c r="H29" s="34">
        <f t="shared" si="0"/>
        <v>0</v>
      </c>
      <c r="I29" s="22"/>
      <c r="J29" s="26" t="str">
        <f>IFERROR(VLOOKUP(I29,'Auxiliar (Foco interno)'!$A$2:$D$4,4,0),"")</f>
        <v/>
      </c>
      <c r="K29" s="22"/>
      <c r="L29" s="26" t="str">
        <f>IFERROR(VLOOKUP(K29,'Auxiliar (Foco interno)'!$E$2:$H$4,4,0),"")</f>
        <v/>
      </c>
      <c r="M29" s="22"/>
      <c r="N29" s="26" t="str">
        <f>IFERROR(VLOOKUP(M29,'Auxiliar (Foco interno)'!$I$2:$L$4,4,0),"")</f>
        <v/>
      </c>
      <c r="O29" s="22"/>
      <c r="P29" s="26" t="str">
        <f>IFERROR(VLOOKUP(O29,'Auxiliar (Foco interno)'!$M$2:$P$4,4,0),"")</f>
        <v/>
      </c>
    </row>
    <row r="30" spans="1:22" x14ac:dyDescent="0.25">
      <c r="A30" s="23"/>
      <c r="B30" s="23"/>
      <c r="C30" s="22"/>
      <c r="D30" s="23"/>
      <c r="E30" s="23">
        <f>COUNTA(A30)</f>
        <v>0</v>
      </c>
      <c r="F30" s="23">
        <f>E30+F29</f>
        <v>20</v>
      </c>
      <c r="G30" s="25" t="str">
        <f>IF(A30="","C",IF(F30&lt;=0.2*$A$1,"A",IF(F30&lt;=0.5*$A$1,"B","C")))</f>
        <v>C</v>
      </c>
      <c r="H30" s="34">
        <f t="shared" si="0"/>
        <v>0</v>
      </c>
      <c r="I30" s="22"/>
      <c r="J30" s="26" t="str">
        <f>IFERROR(VLOOKUP(I30,'Auxiliar (Foco interno)'!$A$2:$D$4,4,0),"")</f>
        <v/>
      </c>
      <c r="K30" s="22"/>
      <c r="L30" s="26" t="str">
        <f>IFERROR(VLOOKUP(K30,'Auxiliar (Foco interno)'!$E$2:$H$4,4,0),"")</f>
        <v/>
      </c>
      <c r="M30" s="22"/>
      <c r="N30" s="26" t="str">
        <f>IFERROR(VLOOKUP(M30,'Auxiliar (Foco interno)'!$I$2:$L$4,4,0),"")</f>
        <v/>
      </c>
      <c r="O30" s="22"/>
      <c r="P30" s="26" t="str">
        <f>IFERROR(VLOOKUP(O30,'Auxiliar (Foco interno)'!$M$2:$P$4,4,0),"")</f>
        <v/>
      </c>
    </row>
    <row r="31" spans="1:22" x14ac:dyDescent="0.25">
      <c r="A31" s="23"/>
      <c r="B31" s="23"/>
      <c r="C31" s="22"/>
      <c r="D31" s="23"/>
      <c r="E31" s="23">
        <f>COUNTA(A31)</f>
        <v>0</v>
      </c>
      <c r="F31" s="23">
        <f>E31+F30</f>
        <v>20</v>
      </c>
      <c r="G31" s="25" t="str">
        <f>IF(A31="","C",IF(F31&lt;=0.2*$A$1,"A",IF(F31&lt;=0.5*$A$1,"B","C")))</f>
        <v>C</v>
      </c>
      <c r="H31" s="34">
        <f t="shared" si="0"/>
        <v>0</v>
      </c>
      <c r="I31" s="22"/>
      <c r="J31" s="26" t="str">
        <f>IFERROR(VLOOKUP(I31,'Auxiliar (Foco interno)'!$A$2:$D$4,4,0),"")</f>
        <v/>
      </c>
      <c r="K31" s="22"/>
      <c r="L31" s="26" t="str">
        <f>IFERROR(VLOOKUP(K31,'Auxiliar (Foco interno)'!$E$2:$H$4,4,0),"")</f>
        <v/>
      </c>
      <c r="M31" s="22"/>
      <c r="N31" s="26" t="str">
        <f>IFERROR(VLOOKUP(M31,'Auxiliar (Foco interno)'!$I$2:$L$4,4,0),"")</f>
        <v/>
      </c>
      <c r="O31" s="22"/>
      <c r="P31" s="26" t="str">
        <f>IFERROR(VLOOKUP(O31,'Auxiliar (Foco interno)'!$M$2:$P$4,4,0),"")</f>
        <v/>
      </c>
    </row>
    <row r="32" spans="1:22" x14ac:dyDescent="0.25">
      <c r="A32" s="23"/>
      <c r="B32" s="23"/>
      <c r="C32" s="22"/>
      <c r="D32" s="23"/>
      <c r="E32" s="23">
        <f>COUNTA(A32)</f>
        <v>0</v>
      </c>
      <c r="F32" s="23">
        <f>E32+F31</f>
        <v>20</v>
      </c>
      <c r="G32" s="25" t="str">
        <f>IF(A32="","C",IF(F32&lt;=0.2*$A$1,"A",IF(F32&lt;=0.5*$A$1,"B","C")))</f>
        <v>C</v>
      </c>
      <c r="H32" s="34">
        <f t="shared" si="0"/>
        <v>0</v>
      </c>
      <c r="I32" s="22"/>
      <c r="J32" s="26" t="str">
        <f>IFERROR(VLOOKUP(I32,'Auxiliar (Foco interno)'!$A$2:$D$4,4,0),"")</f>
        <v/>
      </c>
      <c r="K32" s="22"/>
      <c r="L32" s="26" t="str">
        <f>IFERROR(VLOOKUP(K32,'Auxiliar (Foco interno)'!$E$2:$H$4,4,0),"")</f>
        <v/>
      </c>
      <c r="M32" s="22"/>
      <c r="N32" s="26" t="str">
        <f>IFERROR(VLOOKUP(M32,'Auxiliar (Foco interno)'!$I$2:$L$4,4,0),"")</f>
        <v/>
      </c>
      <c r="O32" s="22"/>
      <c r="P32" s="26" t="str">
        <f>IFERROR(VLOOKUP(O32,'Auxiliar (Foco interno)'!$M$2:$P$4,4,0),"")</f>
        <v/>
      </c>
    </row>
    <row r="33" spans="1:16" x14ac:dyDescent="0.25">
      <c r="A33" s="23"/>
      <c r="B33" s="23"/>
      <c r="C33" s="22"/>
      <c r="D33" s="23"/>
      <c r="E33" s="23">
        <f>COUNTA(A33)</f>
        <v>0</v>
      </c>
      <c r="F33" s="23">
        <f>E33+F32</f>
        <v>20</v>
      </c>
      <c r="G33" s="25" t="str">
        <f>IF(A33="","C",IF(F33&lt;=0.2*$A$1,"A",IF(F33&lt;=0.5*$A$1,"B","C")))</f>
        <v>C</v>
      </c>
      <c r="H33" s="34">
        <f t="shared" si="0"/>
        <v>0</v>
      </c>
      <c r="I33" s="22"/>
      <c r="J33" s="26" t="str">
        <f>IFERROR(VLOOKUP(I33,'Auxiliar (Foco interno)'!$A$2:$D$4,4,0),"")</f>
        <v/>
      </c>
      <c r="K33" s="22"/>
      <c r="L33" s="26" t="str">
        <f>IFERROR(VLOOKUP(K33,'Auxiliar (Foco interno)'!$E$2:$H$4,4,0),"")</f>
        <v/>
      </c>
      <c r="M33" s="22"/>
      <c r="N33" s="26" t="str">
        <f>IFERROR(VLOOKUP(M33,'Auxiliar (Foco interno)'!$I$2:$L$4,4,0),"")</f>
        <v/>
      </c>
      <c r="O33" s="22"/>
      <c r="P33" s="26" t="str">
        <f>IFERROR(VLOOKUP(O33,'Auxiliar (Foco interno)'!$M$2:$P$4,4,0),"")</f>
        <v/>
      </c>
    </row>
    <row r="34" spans="1:16" x14ac:dyDescent="0.25">
      <c r="A34" s="23"/>
      <c r="B34" s="23"/>
      <c r="C34" s="22"/>
      <c r="D34" s="23"/>
      <c r="E34" s="23">
        <f>COUNTA(A34)</f>
        <v>0</v>
      </c>
      <c r="F34" s="23">
        <f>E34+F33</f>
        <v>20</v>
      </c>
      <c r="G34" s="25" t="str">
        <f>IF(A34="","C",IF(F34&lt;=0.2*$A$1,"A",IF(F34&lt;=0.5*$A$1,"B","C")))</f>
        <v>C</v>
      </c>
      <c r="H34" s="34">
        <f t="shared" si="0"/>
        <v>0</v>
      </c>
      <c r="I34" s="22"/>
      <c r="J34" s="26" t="str">
        <f>IFERROR(VLOOKUP(I34,'Auxiliar (Foco interno)'!$A$2:$D$4,4,0),"")</f>
        <v/>
      </c>
      <c r="K34" s="22"/>
      <c r="L34" s="26" t="str">
        <f>IFERROR(VLOOKUP(K34,'Auxiliar (Foco interno)'!$E$2:$H$4,4,0),"")</f>
        <v/>
      </c>
      <c r="M34" s="22"/>
      <c r="N34" s="26" t="str">
        <f>IFERROR(VLOOKUP(M34,'Auxiliar (Foco interno)'!$I$2:$L$4,4,0),"")</f>
        <v/>
      </c>
      <c r="O34" s="22"/>
      <c r="P34" s="26" t="str">
        <f>IFERROR(VLOOKUP(O34,'Auxiliar (Foco interno)'!$M$2:$P$4,4,0),"")</f>
        <v/>
      </c>
    </row>
    <row r="35" spans="1:16" x14ac:dyDescent="0.25">
      <c r="A35" s="23"/>
      <c r="B35" s="23"/>
      <c r="C35" s="22"/>
      <c r="D35" s="23"/>
      <c r="E35" s="23">
        <f>COUNTA(A35)</f>
        <v>0</v>
      </c>
      <c r="F35" s="23">
        <f>E35+F34</f>
        <v>20</v>
      </c>
      <c r="G35" s="25" t="str">
        <f>IF(A35="","C",IF(F35&lt;=0.2*$A$1,"A",IF(F35&lt;=0.5*$A$1,"B","C")))</f>
        <v>C</v>
      </c>
      <c r="H35" s="34">
        <f t="shared" si="0"/>
        <v>0</v>
      </c>
      <c r="I35" s="22"/>
      <c r="J35" s="26" t="str">
        <f>IFERROR(VLOOKUP(I35,'Auxiliar (Foco interno)'!$A$2:$D$4,4,0),"")</f>
        <v/>
      </c>
      <c r="K35" s="22"/>
      <c r="L35" s="26" t="str">
        <f>IFERROR(VLOOKUP(K35,'Auxiliar (Foco interno)'!$E$2:$H$4,4,0),"")</f>
        <v/>
      </c>
      <c r="M35" s="22"/>
      <c r="N35" s="26" t="str">
        <f>IFERROR(VLOOKUP(M35,'Auxiliar (Foco interno)'!$I$2:$L$4,4,0),"")</f>
        <v/>
      </c>
      <c r="O35" s="22"/>
      <c r="P35" s="26" t="str">
        <f>IFERROR(VLOOKUP(O35,'Auxiliar (Foco interno)'!$M$2:$P$4,4,0),"")</f>
        <v/>
      </c>
    </row>
    <row r="36" spans="1:16" x14ac:dyDescent="0.25">
      <c r="A36" s="23"/>
      <c r="B36" s="23"/>
      <c r="C36" s="22"/>
      <c r="D36" s="23"/>
      <c r="E36" s="23">
        <f>COUNTA(A36)</f>
        <v>0</v>
      </c>
      <c r="F36" s="23">
        <f>E36+F35</f>
        <v>20</v>
      </c>
      <c r="G36" s="25" t="str">
        <f>IF(A36="","C",IF(F36&lt;=0.2*$A$1,"A",IF(F36&lt;=0.5*$A$1,"B","C")))</f>
        <v>C</v>
      </c>
      <c r="H36" s="34">
        <f t="shared" si="0"/>
        <v>0</v>
      </c>
      <c r="I36" s="22"/>
      <c r="J36" s="26" t="str">
        <f>IFERROR(VLOOKUP(I36,'Auxiliar (Foco interno)'!$A$2:$D$4,4,0),"")</f>
        <v/>
      </c>
      <c r="K36" s="22"/>
      <c r="L36" s="26" t="str">
        <f>IFERROR(VLOOKUP(K36,'Auxiliar (Foco interno)'!$E$2:$H$4,4,0),"")</f>
        <v/>
      </c>
      <c r="M36" s="22"/>
      <c r="N36" s="26" t="str">
        <f>IFERROR(VLOOKUP(M36,'Auxiliar (Foco interno)'!$I$2:$L$4,4,0),"")</f>
        <v/>
      </c>
      <c r="O36" s="22"/>
      <c r="P36" s="26" t="str">
        <f>IFERROR(VLOOKUP(O36,'Auxiliar (Foco interno)'!$M$2:$P$4,4,0),"")</f>
        <v/>
      </c>
    </row>
    <row r="37" spans="1:16" x14ac:dyDescent="0.25">
      <c r="A37" s="23"/>
      <c r="B37" s="23"/>
      <c r="C37" s="22"/>
      <c r="D37" s="23"/>
      <c r="E37" s="23">
        <f>COUNTA(A37)</f>
        <v>0</v>
      </c>
      <c r="F37" s="23">
        <f>E37+F36</f>
        <v>20</v>
      </c>
      <c r="G37" s="25" t="str">
        <f>IF(A37="","C",IF(F37&lt;=0.2*$A$1,"A",IF(F37&lt;=0.5*$A$1,"B","C")))</f>
        <v>C</v>
      </c>
      <c r="H37" s="34">
        <f t="shared" si="0"/>
        <v>0</v>
      </c>
      <c r="I37" s="22"/>
      <c r="J37" s="26" t="str">
        <f>IFERROR(VLOOKUP(I37,'Auxiliar (Foco interno)'!$A$2:$D$4,4,0),"")</f>
        <v/>
      </c>
      <c r="K37" s="22"/>
      <c r="L37" s="26" t="str">
        <f>IFERROR(VLOOKUP(K37,'Auxiliar (Foco interno)'!$E$2:$H$4,4,0),"")</f>
        <v/>
      </c>
      <c r="M37" s="22"/>
      <c r="N37" s="26" t="str">
        <f>IFERROR(VLOOKUP(M37,'Auxiliar (Foco interno)'!$I$2:$L$4,4,0),"")</f>
        <v/>
      </c>
      <c r="O37" s="22"/>
      <c r="P37" s="26" t="str">
        <f>IFERROR(VLOOKUP(O37,'Auxiliar (Foco interno)'!$M$2:$P$4,4,0),"")</f>
        <v/>
      </c>
    </row>
    <row r="38" spans="1:16" x14ac:dyDescent="0.25">
      <c r="A38" s="23"/>
      <c r="B38" s="23"/>
      <c r="C38" s="22"/>
      <c r="D38" s="23"/>
      <c r="E38" s="23">
        <f>COUNTA(A38)</f>
        <v>0</v>
      </c>
      <c r="F38" s="23">
        <f>E38+F37</f>
        <v>20</v>
      </c>
      <c r="G38" s="25" t="str">
        <f>IF(A38="","C",IF(F38&lt;=0.2*$A$1,"A",IF(F38&lt;=0.5*$A$1,"B","C")))</f>
        <v>C</v>
      </c>
      <c r="H38" s="34">
        <f t="shared" si="0"/>
        <v>0</v>
      </c>
      <c r="I38" s="22"/>
      <c r="J38" s="26" t="str">
        <f>IFERROR(VLOOKUP(I38,'Auxiliar (Foco interno)'!$A$2:$D$4,4,0),"")</f>
        <v/>
      </c>
      <c r="K38" s="22"/>
      <c r="L38" s="26" t="str">
        <f>IFERROR(VLOOKUP(K38,'Auxiliar (Foco interno)'!$E$2:$H$4,4,0),"")</f>
        <v/>
      </c>
      <c r="M38" s="22"/>
      <c r="N38" s="26" t="str">
        <f>IFERROR(VLOOKUP(M38,'Auxiliar (Foco interno)'!$I$2:$L$4,4,0),"")</f>
        <v/>
      </c>
      <c r="O38" s="22"/>
      <c r="P38" s="26" t="str">
        <f>IFERROR(VLOOKUP(O38,'Auxiliar (Foco interno)'!$M$2:$P$4,4,0),"")</f>
        <v/>
      </c>
    </row>
    <row r="39" spans="1:16" x14ac:dyDescent="0.25">
      <c r="A39" s="23"/>
      <c r="B39" s="23"/>
      <c r="C39" s="22"/>
      <c r="D39" s="23"/>
      <c r="E39" s="23">
        <f>COUNTA(A39)</f>
        <v>0</v>
      </c>
      <c r="F39" s="23">
        <f>E39+F38</f>
        <v>20</v>
      </c>
      <c r="G39" s="25" t="str">
        <f>IF(A39="","C",IF(F39&lt;=0.2*$A$1,"A",IF(F39&lt;=0.5*$A$1,"B","C")))</f>
        <v>C</v>
      </c>
      <c r="H39" s="34">
        <f t="shared" si="0"/>
        <v>0</v>
      </c>
      <c r="I39" s="22"/>
      <c r="J39" s="26" t="str">
        <f>IFERROR(VLOOKUP(I39,'Auxiliar (Foco interno)'!$A$2:$D$4,4,0),"")</f>
        <v/>
      </c>
      <c r="K39" s="22"/>
      <c r="L39" s="26" t="str">
        <f>IFERROR(VLOOKUP(K39,'Auxiliar (Foco interno)'!$E$2:$H$4,4,0),"")</f>
        <v/>
      </c>
      <c r="M39" s="22"/>
      <c r="N39" s="26" t="str">
        <f>IFERROR(VLOOKUP(M39,'Auxiliar (Foco interno)'!$I$2:$L$4,4,0),"")</f>
        <v/>
      </c>
      <c r="O39" s="22"/>
      <c r="P39" s="26" t="str">
        <f>IFERROR(VLOOKUP(O39,'Auxiliar (Foco interno)'!$M$2:$P$4,4,0),"")</f>
        <v/>
      </c>
    </row>
    <row r="40" spans="1:16" x14ac:dyDescent="0.25">
      <c r="A40" s="23"/>
      <c r="B40" s="23"/>
      <c r="C40" s="22"/>
      <c r="D40" s="23"/>
      <c r="E40" s="23">
        <f>COUNTA(A40)</f>
        <v>0</v>
      </c>
      <c r="F40" s="23">
        <f>E40+F39</f>
        <v>20</v>
      </c>
      <c r="G40" s="25" t="str">
        <f>IF(A40="","C",IF(F40&lt;=0.2*$A$1,"A",IF(F40&lt;=0.5*$A$1,"B","C")))</f>
        <v>C</v>
      </c>
      <c r="H40" s="34">
        <f t="shared" si="0"/>
        <v>0</v>
      </c>
      <c r="I40" s="22"/>
      <c r="J40" s="26" t="str">
        <f>IFERROR(VLOOKUP(I40,'Auxiliar (Foco interno)'!$A$2:$D$4,4,0),"")</f>
        <v/>
      </c>
      <c r="K40" s="22"/>
      <c r="L40" s="26" t="str">
        <f>IFERROR(VLOOKUP(K40,'Auxiliar (Foco interno)'!$E$2:$H$4,4,0),"")</f>
        <v/>
      </c>
      <c r="M40" s="22"/>
      <c r="N40" s="26" t="str">
        <f>IFERROR(VLOOKUP(M40,'Auxiliar (Foco interno)'!$I$2:$L$4,4,0),"")</f>
        <v/>
      </c>
      <c r="O40" s="22"/>
      <c r="P40" s="26" t="str">
        <f>IFERROR(VLOOKUP(O40,'Auxiliar (Foco interno)'!$M$2:$P$4,4,0),"")</f>
        <v/>
      </c>
    </row>
    <row r="41" spans="1:16" x14ac:dyDescent="0.25">
      <c r="A41" s="23"/>
      <c r="B41" s="23"/>
      <c r="C41" s="22"/>
      <c r="D41" s="23"/>
      <c r="E41" s="23">
        <f>COUNTA(A41)</f>
        <v>0</v>
      </c>
      <c r="F41" s="23">
        <f>E41+F40</f>
        <v>20</v>
      </c>
      <c r="G41" s="25" t="str">
        <f>IF(A41="","C",IF(F41&lt;=0.2*$A$1,"A",IF(F41&lt;=0.5*$A$1,"B","C")))</f>
        <v>C</v>
      </c>
      <c r="H41" s="34">
        <f t="shared" si="0"/>
        <v>0</v>
      </c>
      <c r="I41" s="22"/>
      <c r="J41" s="26" t="str">
        <f>IFERROR(VLOOKUP(I41,'Auxiliar (Foco interno)'!$A$2:$D$4,4,0),"")</f>
        <v/>
      </c>
      <c r="K41" s="22"/>
      <c r="L41" s="26" t="str">
        <f>IFERROR(VLOOKUP(K41,'Auxiliar (Foco interno)'!$E$2:$H$4,4,0),"")</f>
        <v/>
      </c>
      <c r="M41" s="22"/>
      <c r="N41" s="26" t="str">
        <f>IFERROR(VLOOKUP(M41,'Auxiliar (Foco interno)'!$I$2:$L$4,4,0),"")</f>
        <v/>
      </c>
      <c r="O41" s="22"/>
      <c r="P41" s="26" t="str">
        <f>IFERROR(VLOOKUP(O41,'Auxiliar (Foco interno)'!$M$2:$P$4,4,0),"")</f>
        <v/>
      </c>
    </row>
    <row r="42" spans="1:16" x14ac:dyDescent="0.25">
      <c r="A42" s="23"/>
      <c r="B42" s="23"/>
      <c r="C42" s="22"/>
      <c r="D42" s="23"/>
      <c r="E42" s="23">
        <f>COUNTA(A42)</f>
        <v>0</v>
      </c>
      <c r="F42" s="23">
        <f>E42+F41</f>
        <v>20</v>
      </c>
      <c r="G42" s="25" t="str">
        <f>IF(A42="","C",IF(F42&lt;=0.2*$A$1,"A",IF(F42&lt;=0.5*$A$1,"B","C")))</f>
        <v>C</v>
      </c>
      <c r="H42" s="34">
        <f t="shared" si="0"/>
        <v>0</v>
      </c>
      <c r="I42" s="22"/>
      <c r="J42" s="26" t="str">
        <f>IFERROR(VLOOKUP(I42,'Auxiliar (Foco interno)'!$A$2:$D$4,4,0),"")</f>
        <v/>
      </c>
      <c r="K42" s="22"/>
      <c r="L42" s="26" t="str">
        <f>IFERROR(VLOOKUP(K42,'Auxiliar (Foco interno)'!$E$2:$H$4,4,0),"")</f>
        <v/>
      </c>
      <c r="M42" s="22"/>
      <c r="N42" s="26" t="str">
        <f>IFERROR(VLOOKUP(M42,'Auxiliar (Foco interno)'!$I$2:$L$4,4,0),"")</f>
        <v/>
      </c>
      <c r="O42" s="22"/>
      <c r="P42" s="26" t="str">
        <f>IFERROR(VLOOKUP(O42,'Auxiliar (Foco interno)'!$M$2:$P$4,4,0),"")</f>
        <v/>
      </c>
    </row>
    <row r="43" spans="1:16" x14ac:dyDescent="0.25">
      <c r="A43" s="23"/>
      <c r="B43" s="23"/>
      <c r="C43" s="22"/>
      <c r="D43" s="23"/>
      <c r="E43" s="23">
        <f>COUNTA(A43)</f>
        <v>0</v>
      </c>
      <c r="F43" s="23">
        <f>E43+F42</f>
        <v>20</v>
      </c>
      <c r="G43" s="25" t="str">
        <f>IF(A43="","C",IF(F43&lt;=0.2*$A$1,"A",IF(F43&lt;=0.5*$A$1,"B","C")))</f>
        <v>C</v>
      </c>
      <c r="H43" s="34">
        <f t="shared" si="0"/>
        <v>0</v>
      </c>
      <c r="I43" s="22"/>
      <c r="J43" s="26" t="str">
        <f>IFERROR(VLOOKUP(I43,'Auxiliar (Foco interno)'!$A$2:$D$4,4,0),"")</f>
        <v/>
      </c>
      <c r="K43" s="22"/>
      <c r="L43" s="26" t="str">
        <f>IFERROR(VLOOKUP(K43,'Auxiliar (Foco interno)'!$E$2:$H$4,4,0),"")</f>
        <v/>
      </c>
      <c r="M43" s="22"/>
      <c r="N43" s="26" t="str">
        <f>IFERROR(VLOOKUP(M43,'Auxiliar (Foco interno)'!$I$2:$L$4,4,0),"")</f>
        <v/>
      </c>
      <c r="O43" s="22"/>
      <c r="P43" s="26" t="str">
        <f>IFERROR(VLOOKUP(O43,'Auxiliar (Foco interno)'!$M$2:$P$4,4,0),"")</f>
        <v/>
      </c>
    </row>
    <row r="44" spans="1:16" x14ac:dyDescent="0.25">
      <c r="A44" s="23"/>
      <c r="B44" s="23"/>
      <c r="C44" s="22"/>
      <c r="D44" s="23"/>
      <c r="E44" s="23">
        <f>COUNTA(A44)</f>
        <v>0</v>
      </c>
      <c r="F44" s="23">
        <f>E44+F43</f>
        <v>20</v>
      </c>
      <c r="G44" s="25" t="str">
        <f>IF(A44="","C",IF(F44&lt;=0.2*$A$1,"A",IF(F44&lt;=0.5*$A$1,"B","C")))</f>
        <v>C</v>
      </c>
      <c r="H44" s="34">
        <f t="shared" si="0"/>
        <v>0</v>
      </c>
      <c r="I44" s="22"/>
      <c r="J44" s="26" t="str">
        <f>IFERROR(VLOOKUP(I44,'Auxiliar (Foco interno)'!$A$2:$D$4,4,0),"")</f>
        <v/>
      </c>
      <c r="K44" s="22"/>
      <c r="L44" s="26" t="str">
        <f>IFERROR(VLOOKUP(K44,'Auxiliar (Foco interno)'!$E$2:$H$4,4,0),"")</f>
        <v/>
      </c>
      <c r="M44" s="22"/>
      <c r="N44" s="26" t="str">
        <f>IFERROR(VLOOKUP(M44,'Auxiliar (Foco interno)'!$I$2:$L$4,4,0),"")</f>
        <v/>
      </c>
      <c r="O44" s="22"/>
      <c r="P44" s="26" t="str">
        <f>IFERROR(VLOOKUP(O44,'Auxiliar (Foco interno)'!$M$2:$P$4,4,0),"")</f>
        <v/>
      </c>
    </row>
    <row r="45" spans="1:16" x14ac:dyDescent="0.25">
      <c r="A45" s="23"/>
      <c r="B45" s="23"/>
      <c r="C45" s="22"/>
      <c r="D45" s="23"/>
      <c r="E45" s="23">
        <f>COUNTA(A45)</f>
        <v>0</v>
      </c>
      <c r="F45" s="23">
        <f>E45+F44</f>
        <v>20</v>
      </c>
      <c r="G45" s="25" t="str">
        <f>IF(A45="","C",IF(F45&lt;=0.2*$A$1,"A",IF(F45&lt;=0.5*$A$1,"B","C")))</f>
        <v>C</v>
      </c>
      <c r="H45" s="34">
        <f t="shared" si="0"/>
        <v>0</v>
      </c>
      <c r="I45" s="22"/>
      <c r="J45" s="26" t="str">
        <f>IFERROR(VLOOKUP(I45,'Auxiliar (Foco interno)'!$A$2:$D$4,4,0),"")</f>
        <v/>
      </c>
      <c r="K45" s="22"/>
      <c r="L45" s="26" t="str">
        <f>IFERROR(VLOOKUP(K45,'Auxiliar (Foco interno)'!$E$2:$H$4,4,0),"")</f>
        <v/>
      </c>
      <c r="M45" s="22"/>
      <c r="N45" s="26" t="str">
        <f>IFERROR(VLOOKUP(M45,'Auxiliar (Foco interno)'!$I$2:$L$4,4,0),"")</f>
        <v/>
      </c>
      <c r="O45" s="22"/>
      <c r="P45" s="26" t="str">
        <f>IFERROR(VLOOKUP(O45,'Auxiliar (Foco interno)'!$M$2:$P$4,4,0),"")</f>
        <v/>
      </c>
    </row>
    <row r="46" spans="1:16" x14ac:dyDescent="0.25">
      <c r="A46" s="23"/>
      <c r="B46" s="23"/>
      <c r="C46" s="22"/>
      <c r="D46" s="23"/>
      <c r="E46" s="23">
        <f>COUNTA(A46)</f>
        <v>0</v>
      </c>
      <c r="F46" s="23">
        <f>E46+F45</f>
        <v>20</v>
      </c>
      <c r="G46" s="25" t="str">
        <f>IF(A46="","C",IF(F46&lt;=0.2*$A$1,"A",IF(F46&lt;=0.5*$A$1,"B","C")))</f>
        <v>C</v>
      </c>
      <c r="H46" s="34">
        <f t="shared" si="0"/>
        <v>0</v>
      </c>
      <c r="I46" s="22"/>
      <c r="J46" s="26" t="str">
        <f>IFERROR(VLOOKUP(I46,'Auxiliar (Foco interno)'!$A$2:$D$4,4,0),"")</f>
        <v/>
      </c>
      <c r="K46" s="22"/>
      <c r="L46" s="26" t="str">
        <f>IFERROR(VLOOKUP(K46,'Auxiliar (Foco interno)'!$E$2:$H$4,4,0),"")</f>
        <v/>
      </c>
      <c r="M46" s="22"/>
      <c r="N46" s="26" t="str">
        <f>IFERROR(VLOOKUP(M46,'Auxiliar (Foco interno)'!$I$2:$L$4,4,0),"")</f>
        <v/>
      </c>
      <c r="O46" s="22"/>
      <c r="P46" s="26" t="str">
        <f>IFERROR(VLOOKUP(O46,'Auxiliar (Foco interno)'!$M$2:$P$4,4,0),"")</f>
        <v/>
      </c>
    </row>
    <row r="47" spans="1:16" x14ac:dyDescent="0.25">
      <c r="A47" s="23"/>
      <c r="B47" s="23"/>
      <c r="C47" s="22"/>
      <c r="D47" s="23"/>
      <c r="E47" s="23">
        <f>COUNTA(A47)</f>
        <v>0</v>
      </c>
      <c r="F47" s="23">
        <f>E47+F46</f>
        <v>20</v>
      </c>
      <c r="G47" s="25" t="str">
        <f>IF(A47="","C",IF(F47&lt;=0.2*$A$1,"A",IF(F47&lt;=0.5*$A$1,"B","C")))</f>
        <v>C</v>
      </c>
      <c r="H47" s="34">
        <f t="shared" si="0"/>
        <v>0</v>
      </c>
      <c r="I47" s="22"/>
      <c r="J47" s="26" t="str">
        <f>IFERROR(VLOOKUP(I47,'Auxiliar (Foco interno)'!$A$2:$D$4,4,0),"")</f>
        <v/>
      </c>
      <c r="K47" s="22"/>
      <c r="L47" s="26" t="str">
        <f>IFERROR(VLOOKUP(K47,'Auxiliar (Foco interno)'!$E$2:$H$4,4,0),"")</f>
        <v/>
      </c>
      <c r="M47" s="22"/>
      <c r="N47" s="26" t="str">
        <f>IFERROR(VLOOKUP(M47,'Auxiliar (Foco interno)'!$I$2:$L$4,4,0),"")</f>
        <v/>
      </c>
      <c r="O47" s="22"/>
      <c r="P47" s="26" t="str">
        <f>IFERROR(VLOOKUP(O47,'Auxiliar (Foco interno)'!$M$2:$P$4,4,0),"")</f>
        <v/>
      </c>
    </row>
    <row r="48" spans="1:16" x14ac:dyDescent="0.25">
      <c r="A48" s="23"/>
      <c r="B48" s="23"/>
      <c r="C48" s="22"/>
      <c r="D48" s="23"/>
      <c r="E48" s="23">
        <f>COUNTA(A48)</f>
        <v>0</v>
      </c>
      <c r="F48" s="23">
        <f>E48+F47</f>
        <v>20</v>
      </c>
      <c r="G48" s="25" t="str">
        <f>IF(A48="","C",IF(F48&lt;=0.2*$A$1,"A",IF(F48&lt;=0.5*$A$1,"B","C")))</f>
        <v>C</v>
      </c>
      <c r="H48" s="34">
        <f t="shared" si="0"/>
        <v>0</v>
      </c>
      <c r="I48" s="22"/>
      <c r="J48" s="26" t="str">
        <f>IFERROR(VLOOKUP(I48,'Auxiliar (Foco interno)'!$A$2:$D$4,4,0),"")</f>
        <v/>
      </c>
      <c r="K48" s="22"/>
      <c r="L48" s="26" t="str">
        <f>IFERROR(VLOOKUP(K48,'Auxiliar (Foco interno)'!$E$2:$H$4,4,0),"")</f>
        <v/>
      </c>
      <c r="M48" s="22"/>
      <c r="N48" s="26" t="str">
        <f>IFERROR(VLOOKUP(M48,'Auxiliar (Foco interno)'!$I$2:$L$4,4,0),"")</f>
        <v/>
      </c>
      <c r="O48" s="22"/>
      <c r="P48" s="26" t="str">
        <f>IFERROR(VLOOKUP(O48,'Auxiliar (Foco interno)'!$M$2:$P$4,4,0),"")</f>
        <v/>
      </c>
    </row>
    <row r="49" spans="1:16" x14ac:dyDescent="0.25">
      <c r="A49" s="23"/>
      <c r="B49" s="23"/>
      <c r="C49" s="22"/>
      <c r="D49" s="23"/>
      <c r="E49" s="23">
        <f>COUNTA(A49)</f>
        <v>0</v>
      </c>
      <c r="F49" s="23">
        <f>E49+F48</f>
        <v>20</v>
      </c>
      <c r="G49" s="25" t="str">
        <f>IF(A49="","C",IF(F49&lt;=0.2*$A$1,"A",IF(F49&lt;=0.5*$A$1,"B","C")))</f>
        <v>C</v>
      </c>
      <c r="H49" s="34">
        <f t="shared" si="0"/>
        <v>0</v>
      </c>
      <c r="I49" s="22"/>
      <c r="J49" s="26" t="str">
        <f>IFERROR(VLOOKUP(I49,'Auxiliar (Foco interno)'!$A$2:$D$4,4,0),"")</f>
        <v/>
      </c>
      <c r="K49" s="22"/>
      <c r="L49" s="26" t="str">
        <f>IFERROR(VLOOKUP(K49,'Auxiliar (Foco interno)'!$E$2:$H$4,4,0),"")</f>
        <v/>
      </c>
      <c r="M49" s="22"/>
      <c r="N49" s="26" t="str">
        <f>IFERROR(VLOOKUP(M49,'Auxiliar (Foco interno)'!$I$2:$L$4,4,0),"")</f>
        <v/>
      </c>
      <c r="O49" s="22"/>
      <c r="P49" s="26" t="str">
        <f>IFERROR(VLOOKUP(O49,'Auxiliar (Foco interno)'!$M$2:$P$4,4,0),"")</f>
        <v/>
      </c>
    </row>
    <row r="50" spans="1:16" x14ac:dyDescent="0.25">
      <c r="A50" s="23"/>
      <c r="B50" s="23"/>
      <c r="C50" s="22"/>
      <c r="D50" s="23"/>
      <c r="E50" s="23">
        <f>COUNTA(A50)</f>
        <v>0</v>
      </c>
      <c r="F50" s="23">
        <f>E50+F49</f>
        <v>20</v>
      </c>
      <c r="G50" s="25" t="str">
        <f>IF(A50="","C",IF(F50&lt;=0.2*$A$1,"A",IF(F50&lt;=0.5*$A$1,"B","C")))</f>
        <v>C</v>
      </c>
      <c r="H50" s="34">
        <f t="shared" si="0"/>
        <v>0</v>
      </c>
      <c r="I50" s="22"/>
      <c r="J50" s="26" t="str">
        <f>IFERROR(VLOOKUP(I50,'Auxiliar (Foco interno)'!$A$2:$D$4,4,0),"")</f>
        <v/>
      </c>
      <c r="K50" s="22"/>
      <c r="L50" s="26" t="str">
        <f>IFERROR(VLOOKUP(K50,'Auxiliar (Foco interno)'!$E$2:$H$4,4,0),"")</f>
        <v/>
      </c>
      <c r="M50" s="22"/>
      <c r="N50" s="26" t="str">
        <f>IFERROR(VLOOKUP(M50,'Auxiliar (Foco interno)'!$I$2:$L$4,4,0),"")</f>
        <v/>
      </c>
      <c r="O50" s="22"/>
      <c r="P50" s="26" t="str">
        <f>IFERROR(VLOOKUP(O50,'Auxiliar (Foco interno)'!$M$2:$P$4,4,0),"")</f>
        <v/>
      </c>
    </row>
    <row r="51" spans="1:16" x14ac:dyDescent="0.25">
      <c r="A51" s="23"/>
      <c r="B51" s="23"/>
      <c r="C51" s="22"/>
      <c r="D51" s="23"/>
      <c r="E51" s="23">
        <f>COUNTA(A51)</f>
        <v>0</v>
      </c>
      <c r="F51" s="23">
        <f>E51+F50</f>
        <v>20</v>
      </c>
      <c r="G51" s="25" t="str">
        <f>IF(A51="","C",IF(F51&lt;=0.2*$A$1,"A",IF(F51&lt;=0.5*$A$1,"B","C")))</f>
        <v>C</v>
      </c>
      <c r="H51" s="34">
        <f t="shared" si="0"/>
        <v>0</v>
      </c>
      <c r="I51" s="22"/>
      <c r="J51" s="26" t="str">
        <f>IFERROR(VLOOKUP(I51,'Auxiliar (Foco interno)'!$A$2:$D$4,4,0),"")</f>
        <v/>
      </c>
      <c r="K51" s="22"/>
      <c r="L51" s="26" t="str">
        <f>IFERROR(VLOOKUP(K51,'Auxiliar (Foco interno)'!$E$2:$H$4,4,0),"")</f>
        <v/>
      </c>
      <c r="M51" s="22"/>
      <c r="N51" s="26" t="str">
        <f>IFERROR(VLOOKUP(M51,'Auxiliar (Foco interno)'!$I$2:$L$4,4,0),"")</f>
        <v/>
      </c>
      <c r="O51" s="22"/>
      <c r="P51" s="26" t="str">
        <f>IFERROR(VLOOKUP(O51,'Auxiliar (Foco interno)'!$M$2:$P$4,4,0),"")</f>
        <v/>
      </c>
    </row>
    <row r="52" spans="1:16" x14ac:dyDescent="0.25">
      <c r="A52" s="23"/>
      <c r="B52" s="23"/>
      <c r="C52" s="22"/>
      <c r="D52" s="23"/>
      <c r="E52" s="23">
        <f>COUNTA(A52)</f>
        <v>0</v>
      </c>
      <c r="F52" s="23">
        <f>E52+F51</f>
        <v>20</v>
      </c>
      <c r="G52" s="25" t="str">
        <f>IF(A52="","C",IF(F52&lt;=0.2*$A$1,"A",IF(F52&lt;=0.5*$A$1,"B","C")))</f>
        <v>C</v>
      </c>
      <c r="H52" s="34">
        <f t="shared" si="0"/>
        <v>0</v>
      </c>
      <c r="I52" s="22"/>
      <c r="J52" s="26" t="str">
        <f>IFERROR(VLOOKUP(I52,'Auxiliar (Foco interno)'!$A$2:$D$4,4,0),"")</f>
        <v/>
      </c>
      <c r="K52" s="22"/>
      <c r="L52" s="26" t="str">
        <f>IFERROR(VLOOKUP(K52,'Auxiliar (Foco interno)'!$E$2:$H$4,4,0),"")</f>
        <v/>
      </c>
      <c r="M52" s="22"/>
      <c r="N52" s="26" t="str">
        <f>IFERROR(VLOOKUP(M52,'Auxiliar (Foco interno)'!$I$2:$L$4,4,0),"")</f>
        <v/>
      </c>
      <c r="O52" s="22"/>
      <c r="P52" s="26" t="str">
        <f>IFERROR(VLOOKUP(O52,'Auxiliar (Foco interno)'!$M$2:$P$4,4,0),"")</f>
        <v/>
      </c>
    </row>
    <row r="53" spans="1:16" x14ac:dyDescent="0.25">
      <c r="A53" s="23"/>
      <c r="B53" s="23"/>
      <c r="C53" s="22"/>
      <c r="D53" s="23"/>
      <c r="E53" s="23">
        <f>COUNTA(A53)</f>
        <v>0</v>
      </c>
      <c r="F53" s="23">
        <f>E53+F52</f>
        <v>20</v>
      </c>
      <c r="G53" s="25" t="str">
        <f>IF(A53="","C",IF(F53&lt;=0.2*$A$1,"A",IF(F53&lt;=0.5*$A$1,"B","C")))</f>
        <v>C</v>
      </c>
      <c r="H53" s="34">
        <f t="shared" si="0"/>
        <v>0</v>
      </c>
      <c r="I53" s="22"/>
      <c r="J53" s="26" t="str">
        <f>IFERROR(VLOOKUP(I53,'Auxiliar (Foco interno)'!$A$2:$D$4,4,0),"")</f>
        <v/>
      </c>
      <c r="K53" s="22"/>
      <c r="L53" s="26" t="str">
        <f>IFERROR(VLOOKUP(K53,'Auxiliar (Foco interno)'!$E$2:$H$4,4,0),"")</f>
        <v/>
      </c>
      <c r="M53" s="22"/>
      <c r="N53" s="26" t="str">
        <f>IFERROR(VLOOKUP(M53,'Auxiliar (Foco interno)'!$I$2:$L$4,4,0),"")</f>
        <v/>
      </c>
      <c r="O53" s="22"/>
      <c r="P53" s="26" t="str">
        <f>IFERROR(VLOOKUP(O53,'Auxiliar (Foco interno)'!$M$2:$P$4,4,0),"")</f>
        <v/>
      </c>
    </row>
    <row r="54" spans="1:16" x14ac:dyDescent="0.25">
      <c r="A54" s="23"/>
      <c r="B54" s="23"/>
      <c r="C54" s="22"/>
      <c r="D54" s="23"/>
      <c r="E54" s="23">
        <f>COUNTA(A54)</f>
        <v>0</v>
      </c>
      <c r="F54" s="23">
        <f>E54+F53</f>
        <v>20</v>
      </c>
      <c r="G54" s="25" t="str">
        <f>IF(A54="","C",IF(F54&lt;=0.2*$A$1,"A",IF(F54&lt;=0.5*$A$1,"B","C")))</f>
        <v>C</v>
      </c>
      <c r="H54" s="34">
        <f t="shared" si="0"/>
        <v>0</v>
      </c>
      <c r="I54" s="22"/>
      <c r="J54" s="26" t="str">
        <f>IFERROR(VLOOKUP(I54,'Auxiliar (Foco interno)'!$A$2:$D$4,4,0),"")</f>
        <v/>
      </c>
      <c r="K54" s="22"/>
      <c r="L54" s="26" t="str">
        <f>IFERROR(VLOOKUP(K54,'Auxiliar (Foco interno)'!$E$2:$H$4,4,0),"")</f>
        <v/>
      </c>
      <c r="M54" s="22"/>
      <c r="N54" s="26" t="str">
        <f>IFERROR(VLOOKUP(M54,'Auxiliar (Foco interno)'!$I$2:$L$4,4,0),"")</f>
        <v/>
      </c>
      <c r="O54" s="22"/>
      <c r="P54" s="26" t="str">
        <f>IFERROR(VLOOKUP(O54,'Auxiliar (Foco interno)'!$M$2:$P$4,4,0),"")</f>
        <v/>
      </c>
    </row>
    <row r="55" spans="1:16" x14ac:dyDescent="0.25">
      <c r="A55" s="23"/>
      <c r="B55" s="23"/>
      <c r="C55" s="22"/>
      <c r="D55" s="23"/>
      <c r="E55" s="23">
        <f>COUNTA(A55)</f>
        <v>0</v>
      </c>
      <c r="F55" s="23">
        <f>E55+F54</f>
        <v>20</v>
      </c>
      <c r="G55" s="25" t="str">
        <f>IF(A55="","C",IF(F55&lt;=0.2*$A$1,"A",IF(F55&lt;=0.5*$A$1,"B","C")))</f>
        <v>C</v>
      </c>
      <c r="H55" s="34">
        <f t="shared" si="0"/>
        <v>0</v>
      </c>
      <c r="I55" s="22"/>
      <c r="J55" s="26" t="str">
        <f>IFERROR(VLOOKUP(I55,'Auxiliar (Foco interno)'!$A$2:$D$4,4,0),"")</f>
        <v/>
      </c>
      <c r="K55" s="22"/>
      <c r="L55" s="26" t="str">
        <f>IFERROR(VLOOKUP(K55,'Auxiliar (Foco interno)'!$E$2:$H$4,4,0),"")</f>
        <v/>
      </c>
      <c r="M55" s="22"/>
      <c r="N55" s="26" t="str">
        <f>IFERROR(VLOOKUP(M55,'Auxiliar (Foco interno)'!$I$2:$L$4,4,0),"")</f>
        <v/>
      </c>
      <c r="O55" s="22"/>
      <c r="P55" s="26" t="str">
        <f>IFERROR(VLOOKUP(O55,'Auxiliar (Foco interno)'!$M$2:$P$4,4,0),"")</f>
        <v/>
      </c>
    </row>
    <row r="56" spans="1:16" x14ac:dyDescent="0.25">
      <c r="A56" s="23"/>
      <c r="B56" s="23"/>
      <c r="C56" s="22"/>
      <c r="D56" s="23"/>
      <c r="E56" s="23">
        <f>COUNTA(A56)</f>
        <v>0</v>
      </c>
      <c r="F56" s="23">
        <f>E56+F55</f>
        <v>20</v>
      </c>
      <c r="G56" s="25" t="str">
        <f>IF(A56="","C",IF(F56&lt;=0.2*$A$1,"A",IF(F56&lt;=0.5*$A$1,"B","C")))</f>
        <v>C</v>
      </c>
      <c r="H56" s="34">
        <f t="shared" si="0"/>
        <v>0</v>
      </c>
      <c r="I56" s="22"/>
      <c r="J56" s="26" t="str">
        <f>IFERROR(VLOOKUP(I56,'Auxiliar (Foco interno)'!$A$2:$D$4,4,0),"")</f>
        <v/>
      </c>
      <c r="K56" s="22"/>
      <c r="L56" s="26" t="str">
        <f>IFERROR(VLOOKUP(K56,'Auxiliar (Foco interno)'!$E$2:$H$4,4,0),"")</f>
        <v/>
      </c>
      <c r="M56" s="22"/>
      <c r="N56" s="26" t="str">
        <f>IFERROR(VLOOKUP(M56,'Auxiliar (Foco interno)'!$I$2:$L$4,4,0),"")</f>
        <v/>
      </c>
      <c r="O56" s="22"/>
      <c r="P56" s="26" t="str">
        <f>IFERROR(VLOOKUP(O56,'Auxiliar (Foco interno)'!$M$2:$P$4,4,0),"")</f>
        <v/>
      </c>
    </row>
    <row r="57" spans="1:16" x14ac:dyDescent="0.25">
      <c r="A57" s="23"/>
      <c r="B57" s="23"/>
      <c r="C57" s="22"/>
      <c r="D57" s="23"/>
      <c r="E57" s="23">
        <f>COUNTA(A57)</f>
        <v>0</v>
      </c>
      <c r="F57" s="23">
        <f>E57+F56</f>
        <v>20</v>
      </c>
      <c r="G57" s="25" t="str">
        <f>IF(A57="","C",IF(F57&lt;=0.2*$A$1,"A",IF(F57&lt;=0.5*$A$1,"B","C")))</f>
        <v>C</v>
      </c>
      <c r="H57" s="34">
        <f t="shared" si="0"/>
        <v>0</v>
      </c>
      <c r="I57" s="22"/>
      <c r="J57" s="26" t="str">
        <f>IFERROR(VLOOKUP(I57,'Auxiliar (Foco interno)'!$A$2:$D$4,4,0),"")</f>
        <v/>
      </c>
      <c r="K57" s="22"/>
      <c r="L57" s="26" t="str">
        <f>IFERROR(VLOOKUP(K57,'Auxiliar (Foco interno)'!$E$2:$H$4,4,0),"")</f>
        <v/>
      </c>
      <c r="M57" s="22"/>
      <c r="N57" s="26" t="str">
        <f>IFERROR(VLOOKUP(M57,'Auxiliar (Foco interno)'!$I$2:$L$4,4,0),"")</f>
        <v/>
      </c>
      <c r="O57" s="22"/>
      <c r="P57" s="26" t="str">
        <f>IFERROR(VLOOKUP(O57,'Auxiliar (Foco interno)'!$M$2:$P$4,4,0),"")</f>
        <v/>
      </c>
    </row>
    <row r="58" spans="1:16" x14ac:dyDescent="0.25">
      <c r="A58" s="23"/>
      <c r="B58" s="23"/>
      <c r="C58" s="22"/>
      <c r="D58" s="23"/>
      <c r="E58" s="23">
        <f>COUNTA(A58)</f>
        <v>0</v>
      </c>
      <c r="F58" s="23">
        <f>E58+F57</f>
        <v>20</v>
      </c>
      <c r="G58" s="25" t="str">
        <f>IF(A58="","C",IF(F58&lt;=0.2*$A$1,"A",IF(F58&lt;=0.5*$A$1,"B","C")))</f>
        <v>C</v>
      </c>
      <c r="H58" s="34">
        <f t="shared" si="0"/>
        <v>0</v>
      </c>
      <c r="I58" s="22"/>
      <c r="J58" s="26" t="str">
        <f>IFERROR(VLOOKUP(I58,'Auxiliar (Foco interno)'!$A$2:$D$4,4,0),"")</f>
        <v/>
      </c>
      <c r="K58" s="22"/>
      <c r="L58" s="26" t="str">
        <f>IFERROR(VLOOKUP(K58,'Auxiliar (Foco interno)'!$E$2:$H$4,4,0),"")</f>
        <v/>
      </c>
      <c r="M58" s="22"/>
      <c r="N58" s="26" t="str">
        <f>IFERROR(VLOOKUP(M58,'Auxiliar (Foco interno)'!$I$2:$L$4,4,0),"")</f>
        <v/>
      </c>
      <c r="O58" s="22"/>
      <c r="P58" s="26" t="str">
        <f>IFERROR(VLOOKUP(O58,'Auxiliar (Foco interno)'!$M$2:$P$4,4,0),"")</f>
        <v/>
      </c>
    </row>
    <row r="59" spans="1:16" x14ac:dyDescent="0.25">
      <c r="A59" s="23"/>
      <c r="B59" s="23"/>
      <c r="C59" s="22"/>
      <c r="D59" s="23"/>
      <c r="E59" s="23">
        <f>COUNTA(A59)</f>
        <v>0</v>
      </c>
      <c r="F59" s="23">
        <f>E59+F58</f>
        <v>20</v>
      </c>
      <c r="G59" s="25" t="str">
        <f>IF(A59="","C",IF(F59&lt;=0.2*$A$1,"A",IF(F59&lt;=0.5*$A$1,"B","C")))</f>
        <v>C</v>
      </c>
      <c r="H59" s="34">
        <f t="shared" si="0"/>
        <v>0</v>
      </c>
      <c r="I59" s="22"/>
      <c r="J59" s="26" t="str">
        <f>IFERROR(VLOOKUP(I59,'Auxiliar (Foco interno)'!$A$2:$D$4,4,0),"")</f>
        <v/>
      </c>
      <c r="K59" s="22"/>
      <c r="L59" s="26" t="str">
        <f>IFERROR(VLOOKUP(K59,'Auxiliar (Foco interno)'!$E$2:$H$4,4,0),"")</f>
        <v/>
      </c>
      <c r="M59" s="22"/>
      <c r="N59" s="26" t="str">
        <f>IFERROR(VLOOKUP(M59,'Auxiliar (Foco interno)'!$I$2:$L$4,4,0),"")</f>
        <v/>
      </c>
      <c r="O59" s="22"/>
      <c r="P59" s="26" t="str">
        <f>IFERROR(VLOOKUP(O59,'Auxiliar (Foco interno)'!$M$2:$P$4,4,0),"")</f>
        <v/>
      </c>
    </row>
    <row r="60" spans="1:16" x14ac:dyDescent="0.25">
      <c r="A60" s="23"/>
      <c r="B60" s="23"/>
      <c r="C60" s="22"/>
      <c r="D60" s="23"/>
      <c r="E60" s="23">
        <f>COUNTA(A60)</f>
        <v>0</v>
      </c>
      <c r="F60" s="23">
        <f>E60+F59</f>
        <v>20</v>
      </c>
      <c r="G60" s="25" t="str">
        <f>IF(A60="","C",IF(F60&lt;=0.2*$A$1,"A",IF(F60&lt;=0.5*$A$1,"B","C")))</f>
        <v>C</v>
      </c>
      <c r="H60" s="34">
        <f t="shared" si="0"/>
        <v>0</v>
      </c>
      <c r="I60" s="22"/>
      <c r="J60" s="26" t="str">
        <f>IFERROR(VLOOKUP(I60,'Auxiliar (Foco interno)'!$A$2:$D$4,4,0),"")</f>
        <v/>
      </c>
      <c r="K60" s="22"/>
      <c r="L60" s="26" t="str">
        <f>IFERROR(VLOOKUP(K60,'Auxiliar (Foco interno)'!$E$2:$H$4,4,0),"")</f>
        <v/>
      </c>
      <c r="M60" s="22"/>
      <c r="N60" s="26" t="str">
        <f>IFERROR(VLOOKUP(M60,'Auxiliar (Foco interno)'!$I$2:$L$4,4,0),"")</f>
        <v/>
      </c>
      <c r="O60" s="22"/>
      <c r="P60" s="26" t="str">
        <f>IFERROR(VLOOKUP(O60,'Auxiliar (Foco interno)'!$M$2:$P$4,4,0),"")</f>
        <v/>
      </c>
    </row>
    <row r="61" spans="1:16" x14ac:dyDescent="0.25">
      <c r="A61" s="23"/>
      <c r="B61" s="23"/>
      <c r="C61" s="22"/>
      <c r="D61" s="23"/>
      <c r="E61" s="23">
        <f>COUNTA(A61)</f>
        <v>0</v>
      </c>
      <c r="F61" s="23">
        <f>E61+F60</f>
        <v>20</v>
      </c>
      <c r="G61" s="25" t="str">
        <f>IF(A61="","C",IF(F61&lt;=0.2*$A$1,"A",IF(F61&lt;=0.5*$A$1,"B","C")))</f>
        <v>C</v>
      </c>
      <c r="H61" s="34">
        <f t="shared" si="0"/>
        <v>0</v>
      </c>
      <c r="I61" s="22"/>
      <c r="J61" s="26" t="str">
        <f>IFERROR(VLOOKUP(I61,'Auxiliar (Foco interno)'!$A$2:$D$4,4,0),"")</f>
        <v/>
      </c>
      <c r="K61" s="22"/>
      <c r="L61" s="26" t="str">
        <f>IFERROR(VLOOKUP(K61,'Auxiliar (Foco interno)'!$E$2:$H$4,4,0),"")</f>
        <v/>
      </c>
      <c r="M61" s="22"/>
      <c r="N61" s="26" t="str">
        <f>IFERROR(VLOOKUP(M61,'Auxiliar (Foco interno)'!$I$2:$L$4,4,0),"")</f>
        <v/>
      </c>
      <c r="O61" s="22"/>
      <c r="P61" s="26" t="str">
        <f>IFERROR(VLOOKUP(O61,'Auxiliar (Foco interno)'!$M$2:$P$4,4,0),"")</f>
        <v/>
      </c>
    </row>
    <row r="62" spans="1:16" x14ac:dyDescent="0.25">
      <c r="A62" s="23"/>
      <c r="B62" s="23"/>
      <c r="C62" s="22"/>
      <c r="D62" s="23"/>
      <c r="E62" s="23">
        <f>COUNTA(A62)</f>
        <v>0</v>
      </c>
      <c r="F62" s="23">
        <f>E62+F61</f>
        <v>20</v>
      </c>
      <c r="G62" s="25" t="str">
        <f>IF(A62="","C",IF(F62&lt;=0.2*$A$1,"A",IF(F62&lt;=0.5*$A$1,"B","C")))</f>
        <v>C</v>
      </c>
      <c r="H62" s="34">
        <f t="shared" si="0"/>
        <v>0</v>
      </c>
      <c r="I62" s="22"/>
      <c r="J62" s="26" t="str">
        <f>IFERROR(VLOOKUP(I62,'Auxiliar (Foco interno)'!$A$2:$D$4,4,0),"")</f>
        <v/>
      </c>
      <c r="K62" s="22"/>
      <c r="L62" s="26" t="str">
        <f>IFERROR(VLOOKUP(K62,'Auxiliar (Foco interno)'!$E$2:$H$4,4,0),"")</f>
        <v/>
      </c>
      <c r="M62" s="22"/>
      <c r="N62" s="26" t="str">
        <f>IFERROR(VLOOKUP(M62,'Auxiliar (Foco interno)'!$I$2:$L$4,4,0),"")</f>
        <v/>
      </c>
      <c r="O62" s="22"/>
      <c r="P62" s="26" t="str">
        <f>IFERROR(VLOOKUP(O62,'Auxiliar (Foco interno)'!$M$2:$P$4,4,0),"")</f>
        <v/>
      </c>
    </row>
    <row r="63" spans="1:16" x14ac:dyDescent="0.25">
      <c r="A63" s="23"/>
      <c r="B63" s="23"/>
      <c r="C63" s="22"/>
      <c r="D63" s="23"/>
      <c r="E63" s="23">
        <f>COUNTA(A63)</f>
        <v>0</v>
      </c>
      <c r="F63" s="23">
        <f>E63+F62</f>
        <v>20</v>
      </c>
      <c r="G63" s="25" t="str">
        <f>IF(A63="","C",IF(F63&lt;=0.2*$A$1,"A",IF(F63&lt;=0.5*$A$1,"B","C")))</f>
        <v>C</v>
      </c>
      <c r="H63" s="34">
        <f t="shared" si="0"/>
        <v>0</v>
      </c>
      <c r="I63" s="22"/>
      <c r="J63" s="26" t="str">
        <f>IFERROR(VLOOKUP(I63,'Auxiliar (Foco interno)'!$A$2:$D$4,4,0),"")</f>
        <v/>
      </c>
      <c r="K63" s="22"/>
      <c r="L63" s="26" t="str">
        <f>IFERROR(VLOOKUP(K63,'Auxiliar (Foco interno)'!$E$2:$H$4,4,0),"")</f>
        <v/>
      </c>
      <c r="M63" s="22"/>
      <c r="N63" s="26" t="str">
        <f>IFERROR(VLOOKUP(M63,'Auxiliar (Foco interno)'!$I$2:$L$4,4,0),"")</f>
        <v/>
      </c>
      <c r="O63" s="22"/>
      <c r="P63" s="26" t="str">
        <f>IFERROR(VLOOKUP(O63,'Auxiliar (Foco interno)'!$M$2:$P$4,4,0),"")</f>
        <v/>
      </c>
    </row>
    <row r="64" spans="1:16" x14ac:dyDescent="0.25">
      <c r="A64" s="23"/>
      <c r="B64" s="23"/>
      <c r="C64" s="22"/>
      <c r="D64" s="23"/>
      <c r="E64" s="23">
        <f>COUNTA(A64)</f>
        <v>0</v>
      </c>
      <c r="F64" s="23">
        <f>E64+F63</f>
        <v>20</v>
      </c>
      <c r="G64" s="25" t="str">
        <f>IF(A64="","C",IF(F64&lt;=0.2*$A$1,"A",IF(F64&lt;=0.5*$A$1,"B","C")))</f>
        <v>C</v>
      </c>
      <c r="H64" s="34">
        <f t="shared" si="0"/>
        <v>0</v>
      </c>
      <c r="I64" s="22"/>
      <c r="J64" s="26" t="str">
        <f>IFERROR(VLOOKUP(I64,'Auxiliar (Foco interno)'!$A$2:$D$4,4,0),"")</f>
        <v/>
      </c>
      <c r="K64" s="22"/>
      <c r="L64" s="26" t="str">
        <f>IFERROR(VLOOKUP(K64,'Auxiliar (Foco interno)'!$E$2:$H$4,4,0),"")</f>
        <v/>
      </c>
      <c r="M64" s="22"/>
      <c r="N64" s="26" t="str">
        <f>IFERROR(VLOOKUP(M64,'Auxiliar (Foco interno)'!$I$2:$L$4,4,0),"")</f>
        <v/>
      </c>
      <c r="O64" s="22"/>
      <c r="P64" s="26" t="str">
        <f>IFERROR(VLOOKUP(O64,'Auxiliar (Foco interno)'!$M$2:$P$4,4,0),"")</f>
        <v/>
      </c>
    </row>
    <row r="65" spans="1:16" x14ac:dyDescent="0.25">
      <c r="A65" s="23"/>
      <c r="B65" s="23"/>
      <c r="C65" s="22"/>
      <c r="D65" s="23"/>
      <c r="E65" s="23">
        <f>COUNTA(A65)</f>
        <v>0</v>
      </c>
      <c r="F65" s="23">
        <f>E65+F64</f>
        <v>20</v>
      </c>
      <c r="G65" s="25" t="str">
        <f>IF(A65="","C",IF(F65&lt;=0.2*$A$1,"A",IF(F65&lt;=0.5*$A$1,"B","C")))</f>
        <v>C</v>
      </c>
      <c r="H65" s="34">
        <f t="shared" si="0"/>
        <v>0</v>
      </c>
      <c r="I65" s="22"/>
      <c r="J65" s="26" t="str">
        <f>IFERROR(VLOOKUP(I65,'Auxiliar (Foco interno)'!$A$2:$D$4,4,0),"")</f>
        <v/>
      </c>
      <c r="K65" s="22"/>
      <c r="L65" s="26" t="str">
        <f>IFERROR(VLOOKUP(K65,'Auxiliar (Foco interno)'!$E$2:$H$4,4,0),"")</f>
        <v/>
      </c>
      <c r="M65" s="22"/>
      <c r="N65" s="26" t="str">
        <f>IFERROR(VLOOKUP(M65,'Auxiliar (Foco interno)'!$I$2:$L$4,4,0),"")</f>
        <v/>
      </c>
      <c r="O65" s="22"/>
      <c r="P65" s="26" t="str">
        <f>IFERROR(VLOOKUP(O65,'Auxiliar (Foco interno)'!$M$2:$P$4,4,0),"")</f>
        <v/>
      </c>
    </row>
    <row r="66" spans="1:16" x14ac:dyDescent="0.25">
      <c r="A66" s="23"/>
      <c r="B66" s="23"/>
      <c r="C66" s="22"/>
      <c r="D66" s="23"/>
      <c r="E66" s="23">
        <f>COUNTA(A66)</f>
        <v>0</v>
      </c>
      <c r="F66" s="23">
        <f>E66+F65</f>
        <v>20</v>
      </c>
      <c r="G66" s="25" t="str">
        <f>IF(A66="","C",IF(F66&lt;=0.2*$A$1,"A",IF(F66&lt;=0.5*$A$1,"B","C")))</f>
        <v>C</v>
      </c>
      <c r="H66" s="34">
        <f t="shared" si="0"/>
        <v>0</v>
      </c>
      <c r="I66" s="22"/>
      <c r="J66" s="26" t="str">
        <f>IFERROR(VLOOKUP(I66,'Auxiliar (Foco interno)'!$A$2:$D$4,4,0),"")</f>
        <v/>
      </c>
      <c r="K66" s="22"/>
      <c r="L66" s="26" t="str">
        <f>IFERROR(VLOOKUP(K66,'Auxiliar (Foco interno)'!$E$2:$H$4,4,0),"")</f>
        <v/>
      </c>
      <c r="M66" s="22"/>
      <c r="N66" s="26" t="str">
        <f>IFERROR(VLOOKUP(M66,'Auxiliar (Foco interno)'!$I$2:$L$4,4,0),"")</f>
        <v/>
      </c>
      <c r="O66" s="22"/>
      <c r="P66" s="26" t="str">
        <f>IFERROR(VLOOKUP(O66,'Auxiliar (Foco interno)'!$M$2:$P$4,4,0),"")</f>
        <v/>
      </c>
    </row>
    <row r="67" spans="1:16" x14ac:dyDescent="0.25">
      <c r="A67" s="23"/>
      <c r="B67" s="23"/>
      <c r="C67" s="22"/>
      <c r="D67" s="23"/>
      <c r="E67" s="23">
        <f>COUNTA(A67)</f>
        <v>0</v>
      </c>
      <c r="F67" s="23">
        <f>E67+F66</f>
        <v>20</v>
      </c>
      <c r="G67" s="25" t="str">
        <f>IF(A67="","C",IF(F67&lt;=0.2*$A$1,"A",IF(F67&lt;=0.5*$A$1,"B","C")))</f>
        <v>C</v>
      </c>
      <c r="H67" s="34">
        <f t="shared" si="0"/>
        <v>0</v>
      </c>
      <c r="I67" s="22"/>
      <c r="J67" s="26" t="str">
        <f>IFERROR(VLOOKUP(I67,'Auxiliar (Foco interno)'!$A$2:$D$4,4,0),"")</f>
        <v/>
      </c>
      <c r="K67" s="22"/>
      <c r="L67" s="26" t="str">
        <f>IFERROR(VLOOKUP(K67,'Auxiliar (Foco interno)'!$E$2:$H$4,4,0),"")</f>
        <v/>
      </c>
      <c r="M67" s="22"/>
      <c r="N67" s="26" t="str">
        <f>IFERROR(VLOOKUP(M67,'Auxiliar (Foco interno)'!$I$2:$L$4,4,0),"")</f>
        <v/>
      </c>
      <c r="O67" s="22"/>
      <c r="P67" s="26" t="str">
        <f>IFERROR(VLOOKUP(O67,'Auxiliar (Foco interno)'!$M$2:$P$4,4,0),"")</f>
        <v/>
      </c>
    </row>
    <row r="68" spans="1:16" x14ac:dyDescent="0.25">
      <c r="A68" s="23"/>
      <c r="B68" s="23"/>
      <c r="C68" s="22"/>
      <c r="D68" s="23"/>
      <c r="E68" s="23">
        <f>COUNTA(A68)</f>
        <v>0</v>
      </c>
      <c r="F68" s="23">
        <f>E68+F67</f>
        <v>20</v>
      </c>
      <c r="G68" s="25" t="str">
        <f>IF(A68="","C",IF(F68&lt;=0.2*$A$1,"A",IF(F68&lt;=0.5*$A$1,"B","C")))</f>
        <v>C</v>
      </c>
      <c r="H68" s="34">
        <f t="shared" si="0"/>
        <v>0</v>
      </c>
      <c r="I68" s="22"/>
      <c r="J68" s="26" t="str">
        <f>IFERROR(VLOOKUP(I68,'Auxiliar (Foco interno)'!$A$2:$D$4,4,0),"")</f>
        <v/>
      </c>
      <c r="K68" s="22"/>
      <c r="L68" s="26" t="str">
        <f>IFERROR(VLOOKUP(K68,'Auxiliar (Foco interno)'!$E$2:$H$4,4,0),"")</f>
        <v/>
      </c>
      <c r="M68" s="22"/>
      <c r="N68" s="26" t="str">
        <f>IFERROR(VLOOKUP(M68,'Auxiliar (Foco interno)'!$I$2:$L$4,4,0),"")</f>
        <v/>
      </c>
      <c r="O68" s="22"/>
      <c r="P68" s="26" t="str">
        <f>IFERROR(VLOOKUP(O68,'Auxiliar (Foco interno)'!$M$2:$P$4,4,0),"")</f>
        <v/>
      </c>
    </row>
    <row r="69" spans="1:16" x14ac:dyDescent="0.25">
      <c r="A69" s="23"/>
      <c r="B69" s="23"/>
      <c r="C69" s="22"/>
      <c r="D69" s="23"/>
      <c r="E69" s="23">
        <f>COUNTA(A69)</f>
        <v>0</v>
      </c>
      <c r="F69" s="23">
        <f>E69+F68</f>
        <v>20</v>
      </c>
      <c r="G69" s="25" t="str">
        <f>IF(A69="","C",IF(F69&lt;=0.2*$A$1,"A",IF(F69&lt;=0.5*$A$1,"B","C")))</f>
        <v>C</v>
      </c>
      <c r="H69" s="34">
        <f t="shared" ref="H69:H101" si="1">IFERROR((J69*$J$1)+(L69*$L$1)+(N69*$N$1)+(P69*$P$1),0)</f>
        <v>0</v>
      </c>
      <c r="I69" s="22"/>
      <c r="J69" s="26" t="str">
        <f>IFERROR(VLOOKUP(I69,'Auxiliar (Foco interno)'!$A$2:$D$4,4,0),"")</f>
        <v/>
      </c>
      <c r="K69" s="22"/>
      <c r="L69" s="26" t="str">
        <f>IFERROR(VLOOKUP(K69,'Auxiliar (Foco interno)'!$E$2:$H$4,4,0),"")</f>
        <v/>
      </c>
      <c r="M69" s="22"/>
      <c r="N69" s="26" t="str">
        <f>IFERROR(VLOOKUP(M69,'Auxiliar (Foco interno)'!$I$2:$L$4,4,0),"")</f>
        <v/>
      </c>
      <c r="O69" s="22"/>
      <c r="P69" s="26" t="str">
        <f>IFERROR(VLOOKUP(O69,'Auxiliar (Foco interno)'!$M$2:$P$4,4,0),"")</f>
        <v/>
      </c>
    </row>
    <row r="70" spans="1:16" x14ac:dyDescent="0.25">
      <c r="A70" s="23"/>
      <c r="B70" s="23"/>
      <c r="C70" s="22"/>
      <c r="D70" s="23"/>
      <c r="E70" s="23">
        <f>COUNTA(A70)</f>
        <v>0</v>
      </c>
      <c r="F70" s="23">
        <f>E70+F69</f>
        <v>20</v>
      </c>
      <c r="G70" s="25" t="str">
        <f>IF(A70="","C",IF(F70&lt;=0.2*$A$1,"A",IF(F70&lt;=0.5*$A$1,"B","C")))</f>
        <v>C</v>
      </c>
      <c r="H70" s="34">
        <f t="shared" si="1"/>
        <v>0</v>
      </c>
      <c r="I70" s="22"/>
      <c r="J70" s="26" t="str">
        <f>IFERROR(VLOOKUP(I70,'Auxiliar (Foco interno)'!$A$2:$D$4,4,0),"")</f>
        <v/>
      </c>
      <c r="K70" s="22"/>
      <c r="L70" s="26" t="str">
        <f>IFERROR(VLOOKUP(K70,'Auxiliar (Foco interno)'!$E$2:$H$4,4,0),"")</f>
        <v/>
      </c>
      <c r="M70" s="22"/>
      <c r="N70" s="26" t="str">
        <f>IFERROR(VLOOKUP(M70,'Auxiliar (Foco interno)'!$I$2:$L$4,4,0),"")</f>
        <v/>
      </c>
      <c r="O70" s="22"/>
      <c r="P70" s="26" t="str">
        <f>IFERROR(VLOOKUP(O70,'Auxiliar (Foco interno)'!$M$2:$P$4,4,0),"")</f>
        <v/>
      </c>
    </row>
    <row r="71" spans="1:16" x14ac:dyDescent="0.25">
      <c r="A71" s="23"/>
      <c r="B71" s="23"/>
      <c r="C71" s="22"/>
      <c r="D71" s="23"/>
      <c r="E71" s="23">
        <f>COUNTA(A71)</f>
        <v>0</v>
      </c>
      <c r="F71" s="23">
        <f>E71+F70</f>
        <v>20</v>
      </c>
      <c r="G71" s="25" t="str">
        <f>IF(A71="","C",IF(F71&lt;=0.2*$A$1,"A",IF(F71&lt;=0.5*$A$1,"B","C")))</f>
        <v>C</v>
      </c>
      <c r="H71" s="34">
        <f t="shared" si="1"/>
        <v>0</v>
      </c>
      <c r="I71" s="22"/>
      <c r="J71" s="26" t="str">
        <f>IFERROR(VLOOKUP(I71,'Auxiliar (Foco interno)'!$A$2:$D$4,4,0),"")</f>
        <v/>
      </c>
      <c r="K71" s="22"/>
      <c r="L71" s="26" t="str">
        <f>IFERROR(VLOOKUP(K71,'Auxiliar (Foco interno)'!$E$2:$H$4,4,0),"")</f>
        <v/>
      </c>
      <c r="M71" s="22"/>
      <c r="N71" s="26" t="str">
        <f>IFERROR(VLOOKUP(M71,'Auxiliar (Foco interno)'!$I$2:$L$4,4,0),"")</f>
        <v/>
      </c>
      <c r="O71" s="22"/>
      <c r="P71" s="26" t="str">
        <f>IFERROR(VLOOKUP(O71,'Auxiliar (Foco interno)'!$M$2:$P$4,4,0),"")</f>
        <v/>
      </c>
    </row>
    <row r="72" spans="1:16" x14ac:dyDescent="0.25">
      <c r="A72" s="23"/>
      <c r="B72" s="23"/>
      <c r="C72" s="22"/>
      <c r="D72" s="23"/>
      <c r="E72" s="23">
        <f>COUNTA(A72)</f>
        <v>0</v>
      </c>
      <c r="F72" s="23">
        <f>E72+F71</f>
        <v>20</v>
      </c>
      <c r="G72" s="25" t="str">
        <f>IF(A72="","C",IF(F72&lt;=0.2*$A$1,"A",IF(F72&lt;=0.5*$A$1,"B","C")))</f>
        <v>C</v>
      </c>
      <c r="H72" s="34">
        <f t="shared" si="1"/>
        <v>0</v>
      </c>
      <c r="I72" s="22"/>
      <c r="J72" s="26" t="str">
        <f>IFERROR(VLOOKUP(I72,'Auxiliar (Foco interno)'!$A$2:$D$4,4,0),"")</f>
        <v/>
      </c>
      <c r="K72" s="22"/>
      <c r="L72" s="26" t="str">
        <f>IFERROR(VLOOKUP(K72,'Auxiliar (Foco interno)'!$E$2:$H$4,4,0),"")</f>
        <v/>
      </c>
      <c r="M72" s="22"/>
      <c r="N72" s="26" t="str">
        <f>IFERROR(VLOOKUP(M72,'Auxiliar (Foco interno)'!$I$2:$L$4,4,0),"")</f>
        <v/>
      </c>
      <c r="O72" s="22"/>
      <c r="P72" s="26" t="str">
        <f>IFERROR(VLOOKUP(O72,'Auxiliar (Foco interno)'!$M$2:$P$4,4,0),"")</f>
        <v/>
      </c>
    </row>
    <row r="73" spans="1:16" x14ac:dyDescent="0.25">
      <c r="A73" s="23"/>
      <c r="B73" s="23"/>
      <c r="C73" s="22"/>
      <c r="D73" s="23"/>
      <c r="E73" s="23">
        <f>COUNTA(A73)</f>
        <v>0</v>
      </c>
      <c r="F73" s="23">
        <f>E73+F72</f>
        <v>20</v>
      </c>
      <c r="G73" s="25" t="str">
        <f>IF(A73="","C",IF(F73&lt;=0.2*$A$1,"A",IF(F73&lt;=0.5*$A$1,"B","C")))</f>
        <v>C</v>
      </c>
      <c r="H73" s="34">
        <f t="shared" si="1"/>
        <v>0</v>
      </c>
      <c r="I73" s="22"/>
      <c r="J73" s="26" t="str">
        <f>IFERROR(VLOOKUP(I73,'Auxiliar (Foco interno)'!$A$2:$D$4,4,0),"")</f>
        <v/>
      </c>
      <c r="K73" s="22"/>
      <c r="L73" s="26" t="str">
        <f>IFERROR(VLOOKUP(K73,'Auxiliar (Foco interno)'!$E$2:$H$4,4,0),"")</f>
        <v/>
      </c>
      <c r="M73" s="22"/>
      <c r="N73" s="26" t="str">
        <f>IFERROR(VLOOKUP(M73,'Auxiliar (Foco interno)'!$I$2:$L$4,4,0),"")</f>
        <v/>
      </c>
      <c r="O73" s="22"/>
      <c r="P73" s="26" t="str">
        <f>IFERROR(VLOOKUP(O73,'Auxiliar (Foco interno)'!$M$2:$P$4,4,0),"")</f>
        <v/>
      </c>
    </row>
    <row r="74" spans="1:16" x14ac:dyDescent="0.25">
      <c r="A74" s="23"/>
      <c r="B74" s="23"/>
      <c r="C74" s="22"/>
      <c r="D74" s="23"/>
      <c r="E74" s="23">
        <f>COUNTA(A74)</f>
        <v>0</v>
      </c>
      <c r="F74" s="23">
        <f>E74+F73</f>
        <v>20</v>
      </c>
      <c r="G74" s="25" t="str">
        <f>IF(A74="","C",IF(F74&lt;=0.2*$A$1,"A",IF(F74&lt;=0.5*$A$1,"B","C")))</f>
        <v>C</v>
      </c>
      <c r="H74" s="34">
        <f t="shared" si="1"/>
        <v>0</v>
      </c>
      <c r="I74" s="22"/>
      <c r="J74" s="26" t="str">
        <f>IFERROR(VLOOKUP(I74,'Auxiliar (Foco interno)'!$A$2:$D$4,4,0),"")</f>
        <v/>
      </c>
      <c r="K74" s="22"/>
      <c r="L74" s="26" t="str">
        <f>IFERROR(VLOOKUP(K74,'Auxiliar (Foco interno)'!$E$2:$H$4,4,0),"")</f>
        <v/>
      </c>
      <c r="M74" s="22"/>
      <c r="N74" s="26" t="str">
        <f>IFERROR(VLOOKUP(M74,'Auxiliar (Foco interno)'!$I$2:$L$4,4,0),"")</f>
        <v/>
      </c>
      <c r="O74" s="22"/>
      <c r="P74" s="26" t="str">
        <f>IFERROR(VLOOKUP(O74,'Auxiliar (Foco interno)'!$M$2:$P$4,4,0),"")</f>
        <v/>
      </c>
    </row>
    <row r="75" spans="1:16" x14ac:dyDescent="0.25">
      <c r="A75" s="23"/>
      <c r="B75" s="23"/>
      <c r="C75" s="22"/>
      <c r="D75" s="23"/>
      <c r="E75" s="23">
        <f>COUNTA(A75)</f>
        <v>0</v>
      </c>
      <c r="F75" s="23">
        <f>E75+F74</f>
        <v>20</v>
      </c>
      <c r="G75" s="25" t="str">
        <f>IF(A75="","C",IF(F75&lt;=0.2*$A$1,"A",IF(F75&lt;=0.5*$A$1,"B","C")))</f>
        <v>C</v>
      </c>
      <c r="H75" s="34">
        <f t="shared" si="1"/>
        <v>0</v>
      </c>
      <c r="I75" s="22"/>
      <c r="J75" s="26" t="str">
        <f>IFERROR(VLOOKUP(I75,'Auxiliar (Foco interno)'!$A$2:$D$4,4,0),"")</f>
        <v/>
      </c>
      <c r="K75" s="22"/>
      <c r="L75" s="26" t="str">
        <f>IFERROR(VLOOKUP(K75,'Auxiliar (Foco interno)'!$E$2:$H$4,4,0),"")</f>
        <v/>
      </c>
      <c r="M75" s="22"/>
      <c r="N75" s="26" t="str">
        <f>IFERROR(VLOOKUP(M75,'Auxiliar (Foco interno)'!$I$2:$L$4,4,0),"")</f>
        <v/>
      </c>
      <c r="O75" s="22"/>
      <c r="P75" s="26" t="str">
        <f>IFERROR(VLOOKUP(O75,'Auxiliar (Foco interno)'!$M$2:$P$4,4,0),"")</f>
        <v/>
      </c>
    </row>
    <row r="76" spans="1:16" x14ac:dyDescent="0.25">
      <c r="A76" s="23"/>
      <c r="B76" s="23"/>
      <c r="C76" s="22"/>
      <c r="D76" s="23"/>
      <c r="E76" s="23">
        <f>COUNTA(A76)</f>
        <v>0</v>
      </c>
      <c r="F76" s="23">
        <f>E76+F75</f>
        <v>20</v>
      </c>
      <c r="G76" s="25" t="str">
        <f>IF(A76="","C",IF(F76&lt;=0.2*$A$1,"A",IF(F76&lt;=0.5*$A$1,"B","C")))</f>
        <v>C</v>
      </c>
      <c r="H76" s="34">
        <f t="shared" si="1"/>
        <v>0</v>
      </c>
      <c r="I76" s="22"/>
      <c r="J76" s="26" t="str">
        <f>IFERROR(VLOOKUP(I76,'Auxiliar (Foco interno)'!$A$2:$D$4,4,0),"")</f>
        <v/>
      </c>
      <c r="K76" s="22"/>
      <c r="L76" s="26" t="str">
        <f>IFERROR(VLOOKUP(K76,'Auxiliar (Foco interno)'!$E$2:$H$4,4,0),"")</f>
        <v/>
      </c>
      <c r="M76" s="22"/>
      <c r="N76" s="26" t="str">
        <f>IFERROR(VLOOKUP(M76,'Auxiliar (Foco interno)'!$I$2:$L$4,4,0),"")</f>
        <v/>
      </c>
      <c r="O76" s="22"/>
      <c r="P76" s="26" t="str">
        <f>IFERROR(VLOOKUP(O76,'Auxiliar (Foco interno)'!$M$2:$P$4,4,0),"")</f>
        <v/>
      </c>
    </row>
    <row r="77" spans="1:16" x14ac:dyDescent="0.25">
      <c r="A77" s="23"/>
      <c r="B77" s="23"/>
      <c r="C77" s="22"/>
      <c r="D77" s="23"/>
      <c r="E77" s="23">
        <f>COUNTA(A77)</f>
        <v>0</v>
      </c>
      <c r="F77" s="23">
        <f>E77+F76</f>
        <v>20</v>
      </c>
      <c r="G77" s="25" t="str">
        <f>IF(A77="","C",IF(F77&lt;=0.2*$A$1,"A",IF(F77&lt;=0.5*$A$1,"B","C")))</f>
        <v>C</v>
      </c>
      <c r="H77" s="34">
        <f t="shared" si="1"/>
        <v>0</v>
      </c>
      <c r="I77" s="22"/>
      <c r="J77" s="26" t="str">
        <f>IFERROR(VLOOKUP(I77,'Auxiliar (Foco interno)'!$A$2:$D$4,4,0),"")</f>
        <v/>
      </c>
      <c r="K77" s="22"/>
      <c r="L77" s="26" t="str">
        <f>IFERROR(VLOOKUP(K77,'Auxiliar (Foco interno)'!$E$2:$H$4,4,0),"")</f>
        <v/>
      </c>
      <c r="M77" s="22"/>
      <c r="N77" s="26" t="str">
        <f>IFERROR(VLOOKUP(M77,'Auxiliar (Foco interno)'!$I$2:$L$4,4,0),"")</f>
        <v/>
      </c>
      <c r="O77" s="22"/>
      <c r="P77" s="26" t="str">
        <f>IFERROR(VLOOKUP(O77,'Auxiliar (Foco interno)'!$M$2:$P$4,4,0),"")</f>
        <v/>
      </c>
    </row>
    <row r="78" spans="1:16" x14ac:dyDescent="0.25">
      <c r="A78" s="23"/>
      <c r="B78" s="23"/>
      <c r="C78" s="22"/>
      <c r="D78" s="23"/>
      <c r="E78" s="23">
        <f>COUNTA(A78)</f>
        <v>0</v>
      </c>
      <c r="F78" s="23">
        <f>E78+F77</f>
        <v>20</v>
      </c>
      <c r="G78" s="25" t="str">
        <f>IF(A78="","C",IF(F78&lt;=0.2*$A$1,"A",IF(F78&lt;=0.5*$A$1,"B","C")))</f>
        <v>C</v>
      </c>
      <c r="H78" s="34">
        <f t="shared" si="1"/>
        <v>0</v>
      </c>
      <c r="I78" s="22"/>
      <c r="J78" s="26" t="str">
        <f>IFERROR(VLOOKUP(I78,'Auxiliar (Foco interno)'!$A$2:$D$4,4,0),"")</f>
        <v/>
      </c>
      <c r="K78" s="22"/>
      <c r="L78" s="26" t="str">
        <f>IFERROR(VLOOKUP(K78,'Auxiliar (Foco interno)'!$E$2:$H$4,4,0),"")</f>
        <v/>
      </c>
      <c r="M78" s="22"/>
      <c r="N78" s="26" t="str">
        <f>IFERROR(VLOOKUP(M78,'Auxiliar (Foco interno)'!$I$2:$L$4,4,0),"")</f>
        <v/>
      </c>
      <c r="O78" s="22"/>
      <c r="P78" s="26" t="str">
        <f>IFERROR(VLOOKUP(O78,'Auxiliar (Foco interno)'!$M$2:$P$4,4,0),"")</f>
        <v/>
      </c>
    </row>
    <row r="79" spans="1:16" x14ac:dyDescent="0.25">
      <c r="A79" s="23"/>
      <c r="B79" s="23"/>
      <c r="C79" s="22"/>
      <c r="D79" s="23"/>
      <c r="E79" s="23">
        <f>COUNTA(A79)</f>
        <v>0</v>
      </c>
      <c r="F79" s="23">
        <f>E79+F78</f>
        <v>20</v>
      </c>
      <c r="G79" s="25" t="str">
        <f>IF(A79="","C",IF(F79&lt;=0.2*$A$1,"A",IF(F79&lt;=0.5*$A$1,"B","C")))</f>
        <v>C</v>
      </c>
      <c r="H79" s="34">
        <f t="shared" si="1"/>
        <v>0</v>
      </c>
      <c r="I79" s="22"/>
      <c r="J79" s="26" t="str">
        <f>IFERROR(VLOOKUP(I79,'Auxiliar (Foco interno)'!$A$2:$D$4,4,0),"")</f>
        <v/>
      </c>
      <c r="K79" s="22"/>
      <c r="L79" s="26" t="str">
        <f>IFERROR(VLOOKUP(K79,'Auxiliar (Foco interno)'!$E$2:$H$4,4,0),"")</f>
        <v/>
      </c>
      <c r="M79" s="22"/>
      <c r="N79" s="26" t="str">
        <f>IFERROR(VLOOKUP(M79,'Auxiliar (Foco interno)'!$I$2:$L$4,4,0),"")</f>
        <v/>
      </c>
      <c r="O79" s="22"/>
      <c r="P79" s="26" t="str">
        <f>IFERROR(VLOOKUP(O79,'Auxiliar (Foco interno)'!$M$2:$P$4,4,0),"")</f>
        <v/>
      </c>
    </row>
    <row r="80" spans="1:16" x14ac:dyDescent="0.25">
      <c r="A80" s="23"/>
      <c r="B80" s="23"/>
      <c r="C80" s="22"/>
      <c r="D80" s="23"/>
      <c r="E80" s="23">
        <f>COUNTA(A80)</f>
        <v>0</v>
      </c>
      <c r="F80" s="23">
        <f>E80+F79</f>
        <v>20</v>
      </c>
      <c r="G80" s="25" t="str">
        <f>IF(A80="","C",IF(F80&lt;=0.2*$A$1,"A",IF(F80&lt;=0.5*$A$1,"B","C")))</f>
        <v>C</v>
      </c>
      <c r="H80" s="34">
        <f t="shared" si="1"/>
        <v>0</v>
      </c>
      <c r="I80" s="22"/>
      <c r="J80" s="26" t="str">
        <f>IFERROR(VLOOKUP(I80,'Auxiliar (Foco interno)'!$A$2:$D$4,4,0),"")</f>
        <v/>
      </c>
      <c r="K80" s="22"/>
      <c r="L80" s="26" t="str">
        <f>IFERROR(VLOOKUP(K80,'Auxiliar (Foco interno)'!$E$2:$H$4,4,0),"")</f>
        <v/>
      </c>
      <c r="M80" s="22"/>
      <c r="N80" s="26" t="str">
        <f>IFERROR(VLOOKUP(M80,'Auxiliar (Foco interno)'!$I$2:$L$4,4,0),"")</f>
        <v/>
      </c>
      <c r="O80" s="22"/>
      <c r="P80" s="26" t="str">
        <f>IFERROR(VLOOKUP(O80,'Auxiliar (Foco interno)'!$M$2:$P$4,4,0),"")</f>
        <v/>
      </c>
    </row>
    <row r="81" spans="1:16" x14ac:dyDescent="0.25">
      <c r="A81" s="23"/>
      <c r="B81" s="23"/>
      <c r="C81" s="22"/>
      <c r="D81" s="23"/>
      <c r="E81" s="23">
        <f>COUNTA(A81)</f>
        <v>0</v>
      </c>
      <c r="F81" s="23">
        <f>E81+F80</f>
        <v>20</v>
      </c>
      <c r="G81" s="25" t="str">
        <f>IF(A81="","C",IF(F81&lt;=0.2*$A$1,"A",IF(F81&lt;=0.5*$A$1,"B","C")))</f>
        <v>C</v>
      </c>
      <c r="H81" s="34">
        <f t="shared" si="1"/>
        <v>0</v>
      </c>
      <c r="I81" s="22"/>
      <c r="J81" s="26" t="str">
        <f>IFERROR(VLOOKUP(I81,'Auxiliar (Foco interno)'!$A$2:$D$4,4,0),"")</f>
        <v/>
      </c>
      <c r="K81" s="22"/>
      <c r="L81" s="26" t="str">
        <f>IFERROR(VLOOKUP(K81,'Auxiliar (Foco interno)'!$E$2:$H$4,4,0),"")</f>
        <v/>
      </c>
      <c r="M81" s="22"/>
      <c r="N81" s="26" t="str">
        <f>IFERROR(VLOOKUP(M81,'Auxiliar (Foco interno)'!$I$2:$L$4,4,0),"")</f>
        <v/>
      </c>
      <c r="O81" s="22"/>
      <c r="P81" s="26" t="str">
        <f>IFERROR(VLOOKUP(O81,'Auxiliar (Foco interno)'!$M$2:$P$4,4,0),"")</f>
        <v/>
      </c>
    </row>
    <row r="82" spans="1:16" x14ac:dyDescent="0.25">
      <c r="A82" s="23"/>
      <c r="B82" s="23"/>
      <c r="C82" s="22"/>
      <c r="D82" s="23"/>
      <c r="E82" s="23">
        <f>COUNTA(A82)</f>
        <v>0</v>
      </c>
      <c r="F82" s="23">
        <f>E82+F81</f>
        <v>20</v>
      </c>
      <c r="G82" s="25" t="str">
        <f>IF(A82="","C",IF(F82&lt;=0.2*$A$1,"A",IF(F82&lt;=0.5*$A$1,"B","C")))</f>
        <v>C</v>
      </c>
      <c r="H82" s="34">
        <f t="shared" si="1"/>
        <v>0</v>
      </c>
      <c r="I82" s="22"/>
      <c r="J82" s="26" t="str">
        <f>IFERROR(VLOOKUP(I82,'Auxiliar (Foco interno)'!$A$2:$D$4,4,0),"")</f>
        <v/>
      </c>
      <c r="K82" s="22"/>
      <c r="L82" s="26" t="str">
        <f>IFERROR(VLOOKUP(K82,'Auxiliar (Foco interno)'!$E$2:$H$4,4,0),"")</f>
        <v/>
      </c>
      <c r="M82" s="22"/>
      <c r="N82" s="26" t="str">
        <f>IFERROR(VLOOKUP(M82,'Auxiliar (Foco interno)'!$I$2:$L$4,4,0),"")</f>
        <v/>
      </c>
      <c r="O82" s="22"/>
      <c r="P82" s="26" t="str">
        <f>IFERROR(VLOOKUP(O82,'Auxiliar (Foco interno)'!$M$2:$P$4,4,0),"")</f>
        <v/>
      </c>
    </row>
    <row r="83" spans="1:16" x14ac:dyDescent="0.25">
      <c r="A83" s="23"/>
      <c r="B83" s="23"/>
      <c r="C83" s="22"/>
      <c r="D83" s="23"/>
      <c r="E83" s="23">
        <f>COUNTA(A83)</f>
        <v>0</v>
      </c>
      <c r="F83" s="23">
        <f>E83+F82</f>
        <v>20</v>
      </c>
      <c r="G83" s="25" t="str">
        <f>IF(A83="","C",IF(F83&lt;=0.2*$A$1,"A",IF(F83&lt;=0.5*$A$1,"B","C")))</f>
        <v>C</v>
      </c>
      <c r="H83" s="34">
        <f t="shared" si="1"/>
        <v>0</v>
      </c>
      <c r="I83" s="22"/>
      <c r="J83" s="26" t="str">
        <f>IFERROR(VLOOKUP(I83,'Auxiliar (Foco interno)'!$A$2:$D$4,4,0),"")</f>
        <v/>
      </c>
      <c r="K83" s="22"/>
      <c r="L83" s="26" t="str">
        <f>IFERROR(VLOOKUP(K83,'Auxiliar (Foco interno)'!$E$2:$H$4,4,0),"")</f>
        <v/>
      </c>
      <c r="M83" s="22"/>
      <c r="N83" s="26" t="str">
        <f>IFERROR(VLOOKUP(M83,'Auxiliar (Foco interno)'!$I$2:$L$4,4,0),"")</f>
        <v/>
      </c>
      <c r="O83" s="22"/>
      <c r="P83" s="26" t="str">
        <f>IFERROR(VLOOKUP(O83,'Auxiliar (Foco interno)'!$M$2:$P$4,4,0),"")</f>
        <v/>
      </c>
    </row>
    <row r="84" spans="1:16" x14ac:dyDescent="0.25">
      <c r="A84" s="23"/>
      <c r="B84" s="23"/>
      <c r="C84" s="22"/>
      <c r="D84" s="23"/>
      <c r="E84" s="23">
        <f>COUNTA(A84)</f>
        <v>0</v>
      </c>
      <c r="F84" s="23">
        <f>E84+F83</f>
        <v>20</v>
      </c>
      <c r="G84" s="25" t="str">
        <f>IF(A84="","C",IF(F84&lt;=0.2*$A$1,"A",IF(F84&lt;=0.5*$A$1,"B","C")))</f>
        <v>C</v>
      </c>
      <c r="H84" s="34">
        <f t="shared" si="1"/>
        <v>0</v>
      </c>
      <c r="I84" s="22"/>
      <c r="J84" s="26" t="str">
        <f>IFERROR(VLOOKUP(I84,'Auxiliar (Foco interno)'!$A$2:$D$4,4,0),"")</f>
        <v/>
      </c>
      <c r="K84" s="22"/>
      <c r="L84" s="26" t="str">
        <f>IFERROR(VLOOKUP(K84,'Auxiliar (Foco interno)'!$E$2:$H$4,4,0),"")</f>
        <v/>
      </c>
      <c r="M84" s="22"/>
      <c r="N84" s="26" t="str">
        <f>IFERROR(VLOOKUP(M84,'Auxiliar (Foco interno)'!$I$2:$L$4,4,0),"")</f>
        <v/>
      </c>
      <c r="O84" s="22"/>
      <c r="P84" s="26" t="str">
        <f>IFERROR(VLOOKUP(O84,'Auxiliar (Foco interno)'!$M$2:$P$4,4,0),"")</f>
        <v/>
      </c>
    </row>
    <row r="85" spans="1:16" x14ac:dyDescent="0.25">
      <c r="A85" s="23"/>
      <c r="B85" s="23"/>
      <c r="C85" s="22"/>
      <c r="D85" s="23"/>
      <c r="E85" s="23">
        <f>COUNTA(A85)</f>
        <v>0</v>
      </c>
      <c r="F85" s="23">
        <f>E85+F84</f>
        <v>20</v>
      </c>
      <c r="G85" s="25" t="str">
        <f>IF(A85="","C",IF(F85&lt;=0.2*$A$1,"A",IF(F85&lt;=0.5*$A$1,"B","C")))</f>
        <v>C</v>
      </c>
      <c r="H85" s="34">
        <f t="shared" si="1"/>
        <v>0</v>
      </c>
      <c r="I85" s="22"/>
      <c r="J85" s="26" t="str">
        <f>IFERROR(VLOOKUP(I85,'Auxiliar (Foco interno)'!$A$2:$D$4,4,0),"")</f>
        <v/>
      </c>
      <c r="K85" s="22"/>
      <c r="L85" s="26" t="str">
        <f>IFERROR(VLOOKUP(K85,'Auxiliar (Foco interno)'!$E$2:$H$4,4,0),"")</f>
        <v/>
      </c>
      <c r="M85" s="22"/>
      <c r="N85" s="26" t="str">
        <f>IFERROR(VLOOKUP(M85,'Auxiliar (Foco interno)'!$I$2:$L$4,4,0),"")</f>
        <v/>
      </c>
      <c r="O85" s="22"/>
      <c r="P85" s="26" t="str">
        <f>IFERROR(VLOOKUP(O85,'Auxiliar (Foco interno)'!$M$2:$P$4,4,0),"")</f>
        <v/>
      </c>
    </row>
    <row r="86" spans="1:16" x14ac:dyDescent="0.25">
      <c r="A86" s="23"/>
      <c r="B86" s="23"/>
      <c r="C86" s="22"/>
      <c r="D86" s="23"/>
      <c r="E86" s="23">
        <f>COUNTA(A86)</f>
        <v>0</v>
      </c>
      <c r="F86" s="23">
        <f>E86+F85</f>
        <v>20</v>
      </c>
      <c r="G86" s="25" t="str">
        <f>IF(A86="","C",IF(F86&lt;=0.2*$A$1,"A",IF(F86&lt;=0.5*$A$1,"B","C")))</f>
        <v>C</v>
      </c>
      <c r="H86" s="34">
        <f t="shared" si="1"/>
        <v>0</v>
      </c>
      <c r="I86" s="22"/>
      <c r="J86" s="26" t="str">
        <f>IFERROR(VLOOKUP(I86,'Auxiliar (Foco interno)'!$A$2:$D$4,4,0),"")</f>
        <v/>
      </c>
      <c r="K86" s="22"/>
      <c r="L86" s="26" t="str">
        <f>IFERROR(VLOOKUP(K86,'Auxiliar (Foco interno)'!$E$2:$H$4,4,0),"")</f>
        <v/>
      </c>
      <c r="M86" s="22"/>
      <c r="N86" s="26" t="str">
        <f>IFERROR(VLOOKUP(M86,'Auxiliar (Foco interno)'!$I$2:$L$4,4,0),"")</f>
        <v/>
      </c>
      <c r="O86" s="22"/>
      <c r="P86" s="26" t="str">
        <f>IFERROR(VLOOKUP(O86,'Auxiliar (Foco interno)'!$M$2:$P$4,4,0),"")</f>
        <v/>
      </c>
    </row>
    <row r="87" spans="1:16" x14ac:dyDescent="0.25">
      <c r="A87" s="23"/>
      <c r="B87" s="23"/>
      <c r="C87" s="22"/>
      <c r="D87" s="23"/>
      <c r="E87" s="23">
        <f>COUNTA(A87)</f>
        <v>0</v>
      </c>
      <c r="F87" s="23">
        <f>E87+F86</f>
        <v>20</v>
      </c>
      <c r="G87" s="25" t="str">
        <f>IF(A87="","C",IF(F87&lt;=0.2*$A$1,"A",IF(F87&lt;=0.5*$A$1,"B","C")))</f>
        <v>C</v>
      </c>
      <c r="H87" s="34">
        <f t="shared" si="1"/>
        <v>0</v>
      </c>
      <c r="I87" s="22"/>
      <c r="J87" s="26" t="str">
        <f>IFERROR(VLOOKUP(I87,'Auxiliar (Foco interno)'!$A$2:$D$4,4,0),"")</f>
        <v/>
      </c>
      <c r="K87" s="22"/>
      <c r="L87" s="26" t="str">
        <f>IFERROR(VLOOKUP(K87,'Auxiliar (Foco interno)'!$E$2:$H$4,4,0),"")</f>
        <v/>
      </c>
      <c r="M87" s="22"/>
      <c r="N87" s="26" t="str">
        <f>IFERROR(VLOOKUP(M87,'Auxiliar (Foco interno)'!$I$2:$L$4,4,0),"")</f>
        <v/>
      </c>
      <c r="O87" s="22"/>
      <c r="P87" s="26" t="str">
        <f>IFERROR(VLOOKUP(O87,'Auxiliar (Foco interno)'!$M$2:$P$4,4,0),"")</f>
        <v/>
      </c>
    </row>
    <row r="88" spans="1:16" x14ac:dyDescent="0.25">
      <c r="A88" s="23"/>
      <c r="B88" s="23"/>
      <c r="C88" s="22"/>
      <c r="D88" s="23"/>
      <c r="E88" s="23">
        <f>COUNTA(A88)</f>
        <v>0</v>
      </c>
      <c r="F88" s="23">
        <f>E88+F87</f>
        <v>20</v>
      </c>
      <c r="G88" s="25" t="str">
        <f>IF(A88="","C",IF(F88&lt;=0.2*$A$1,"A",IF(F88&lt;=0.5*$A$1,"B","C")))</f>
        <v>C</v>
      </c>
      <c r="H88" s="34">
        <f t="shared" si="1"/>
        <v>0</v>
      </c>
      <c r="I88" s="22"/>
      <c r="J88" s="26" t="str">
        <f>IFERROR(VLOOKUP(I88,'Auxiliar (Foco interno)'!$A$2:$D$4,4,0),"")</f>
        <v/>
      </c>
      <c r="K88" s="22"/>
      <c r="L88" s="26" t="str">
        <f>IFERROR(VLOOKUP(K88,'Auxiliar (Foco interno)'!$E$2:$H$4,4,0),"")</f>
        <v/>
      </c>
      <c r="M88" s="22"/>
      <c r="N88" s="26" t="str">
        <f>IFERROR(VLOOKUP(M88,'Auxiliar (Foco interno)'!$I$2:$L$4,4,0),"")</f>
        <v/>
      </c>
      <c r="O88" s="22"/>
      <c r="P88" s="26" t="str">
        <f>IFERROR(VLOOKUP(O88,'Auxiliar (Foco interno)'!$M$2:$P$4,4,0),"")</f>
        <v/>
      </c>
    </row>
    <row r="89" spans="1:16" x14ac:dyDescent="0.25">
      <c r="A89" s="23"/>
      <c r="B89" s="23"/>
      <c r="C89" s="22"/>
      <c r="D89" s="23"/>
      <c r="E89" s="23">
        <f>COUNTA(A89)</f>
        <v>0</v>
      </c>
      <c r="F89" s="23">
        <f>E89+F88</f>
        <v>20</v>
      </c>
      <c r="G89" s="25" t="str">
        <f>IF(A89="","C",IF(F89&lt;=0.2*$A$1,"A",IF(F89&lt;=0.5*$A$1,"B","C")))</f>
        <v>C</v>
      </c>
      <c r="H89" s="34">
        <f t="shared" si="1"/>
        <v>0</v>
      </c>
      <c r="I89" s="22"/>
      <c r="J89" s="26" t="str">
        <f>IFERROR(VLOOKUP(I89,'Auxiliar (Foco interno)'!$A$2:$D$4,4,0),"")</f>
        <v/>
      </c>
      <c r="K89" s="22"/>
      <c r="L89" s="26" t="str">
        <f>IFERROR(VLOOKUP(K89,'Auxiliar (Foco interno)'!$E$2:$H$4,4,0),"")</f>
        <v/>
      </c>
      <c r="M89" s="22"/>
      <c r="N89" s="26" t="str">
        <f>IFERROR(VLOOKUP(M89,'Auxiliar (Foco interno)'!$I$2:$L$4,4,0),"")</f>
        <v/>
      </c>
      <c r="O89" s="22"/>
      <c r="P89" s="26" t="str">
        <f>IFERROR(VLOOKUP(O89,'Auxiliar (Foco interno)'!$M$2:$P$4,4,0),"")</f>
        <v/>
      </c>
    </row>
    <row r="90" spans="1:16" x14ac:dyDescent="0.25">
      <c r="A90" s="23"/>
      <c r="B90" s="23"/>
      <c r="C90" s="22"/>
      <c r="D90" s="23"/>
      <c r="E90" s="23">
        <f>COUNTA(A90)</f>
        <v>0</v>
      </c>
      <c r="F90" s="23">
        <f>E90+F89</f>
        <v>20</v>
      </c>
      <c r="G90" s="25" t="str">
        <f>IF(A90="","C",IF(F90&lt;=0.2*$A$1,"A",IF(F90&lt;=0.5*$A$1,"B","C")))</f>
        <v>C</v>
      </c>
      <c r="H90" s="34">
        <f t="shared" si="1"/>
        <v>0</v>
      </c>
      <c r="I90" s="22"/>
      <c r="J90" s="26" t="str">
        <f>IFERROR(VLOOKUP(I90,'Auxiliar (Foco interno)'!$A$2:$D$4,4,0),"")</f>
        <v/>
      </c>
      <c r="K90" s="22"/>
      <c r="L90" s="26" t="str">
        <f>IFERROR(VLOOKUP(K90,'Auxiliar (Foco interno)'!$E$2:$H$4,4,0),"")</f>
        <v/>
      </c>
      <c r="M90" s="22"/>
      <c r="N90" s="26" t="str">
        <f>IFERROR(VLOOKUP(M90,'Auxiliar (Foco interno)'!$I$2:$L$4,4,0),"")</f>
        <v/>
      </c>
      <c r="O90" s="22"/>
      <c r="P90" s="26" t="str">
        <f>IFERROR(VLOOKUP(O90,'Auxiliar (Foco interno)'!$M$2:$P$4,4,0),"")</f>
        <v/>
      </c>
    </row>
    <row r="91" spans="1:16" x14ac:dyDescent="0.25">
      <c r="A91" s="23"/>
      <c r="B91" s="23"/>
      <c r="C91" s="22"/>
      <c r="D91" s="23"/>
      <c r="E91" s="23">
        <f>COUNTA(A91)</f>
        <v>0</v>
      </c>
      <c r="F91" s="23">
        <f>E91+F90</f>
        <v>20</v>
      </c>
      <c r="G91" s="25" t="str">
        <f>IF(A91="","C",IF(F91&lt;=0.2*$A$1,"A",IF(F91&lt;=0.5*$A$1,"B","C")))</f>
        <v>C</v>
      </c>
      <c r="H91" s="34">
        <f t="shared" si="1"/>
        <v>0</v>
      </c>
      <c r="I91" s="22"/>
      <c r="J91" s="26" t="str">
        <f>IFERROR(VLOOKUP(I91,'Auxiliar (Foco interno)'!$A$2:$D$4,4,0),"")</f>
        <v/>
      </c>
      <c r="K91" s="22"/>
      <c r="L91" s="26" t="str">
        <f>IFERROR(VLOOKUP(K91,'Auxiliar (Foco interno)'!$E$2:$H$4,4,0),"")</f>
        <v/>
      </c>
      <c r="M91" s="22"/>
      <c r="N91" s="26" t="str">
        <f>IFERROR(VLOOKUP(M91,'Auxiliar (Foco interno)'!$I$2:$L$4,4,0),"")</f>
        <v/>
      </c>
      <c r="O91" s="22"/>
      <c r="P91" s="26" t="str">
        <f>IFERROR(VLOOKUP(O91,'Auxiliar (Foco interno)'!$M$2:$P$4,4,0),"")</f>
        <v/>
      </c>
    </row>
    <row r="92" spans="1:16" x14ac:dyDescent="0.25">
      <c r="A92" s="23"/>
      <c r="B92" s="23"/>
      <c r="C92" s="22"/>
      <c r="D92" s="23"/>
      <c r="E92" s="23">
        <f>COUNTA(A92)</f>
        <v>0</v>
      </c>
      <c r="F92" s="23">
        <f>E92+F91</f>
        <v>20</v>
      </c>
      <c r="G92" s="25" t="str">
        <f>IF(A92="","C",IF(F92&lt;=0.2*$A$1,"A",IF(F92&lt;=0.5*$A$1,"B","C")))</f>
        <v>C</v>
      </c>
      <c r="H92" s="34">
        <f t="shared" si="1"/>
        <v>0</v>
      </c>
      <c r="I92" s="22"/>
      <c r="J92" s="26" t="str">
        <f>IFERROR(VLOOKUP(I92,'Auxiliar (Foco interno)'!$A$2:$D$4,4,0),"")</f>
        <v/>
      </c>
      <c r="K92" s="22"/>
      <c r="L92" s="26" t="str">
        <f>IFERROR(VLOOKUP(K92,'Auxiliar (Foco interno)'!$E$2:$H$4,4,0),"")</f>
        <v/>
      </c>
      <c r="M92" s="22"/>
      <c r="N92" s="26" t="str">
        <f>IFERROR(VLOOKUP(M92,'Auxiliar (Foco interno)'!$I$2:$L$4,4,0),"")</f>
        <v/>
      </c>
      <c r="O92" s="22"/>
      <c r="P92" s="26" t="str">
        <f>IFERROR(VLOOKUP(O92,'Auxiliar (Foco interno)'!$M$2:$P$4,4,0),"")</f>
        <v/>
      </c>
    </row>
    <row r="93" spans="1:16" x14ac:dyDescent="0.25">
      <c r="A93" s="23"/>
      <c r="B93" s="23"/>
      <c r="C93" s="22"/>
      <c r="D93" s="23"/>
      <c r="E93" s="23">
        <f>COUNTA(A93)</f>
        <v>0</v>
      </c>
      <c r="F93" s="23">
        <f>E93+F92</f>
        <v>20</v>
      </c>
      <c r="G93" s="25" t="str">
        <f>IF(A93="","C",IF(F93&lt;=0.2*$A$1,"A",IF(F93&lt;=0.5*$A$1,"B","C")))</f>
        <v>C</v>
      </c>
      <c r="H93" s="34">
        <f t="shared" si="1"/>
        <v>0</v>
      </c>
      <c r="I93" s="22"/>
      <c r="J93" s="26" t="str">
        <f>IFERROR(VLOOKUP(I93,'Auxiliar (Foco interno)'!$A$2:$D$4,4,0),"")</f>
        <v/>
      </c>
      <c r="K93" s="22"/>
      <c r="L93" s="26" t="str">
        <f>IFERROR(VLOOKUP(K93,'Auxiliar (Foco interno)'!$E$2:$H$4,4,0),"")</f>
        <v/>
      </c>
      <c r="M93" s="22"/>
      <c r="N93" s="26" t="str">
        <f>IFERROR(VLOOKUP(M93,'Auxiliar (Foco interno)'!$I$2:$L$4,4,0),"")</f>
        <v/>
      </c>
      <c r="O93" s="22"/>
      <c r="P93" s="26" t="str">
        <f>IFERROR(VLOOKUP(O93,'Auxiliar (Foco interno)'!$M$2:$P$4,4,0),"")</f>
        <v/>
      </c>
    </row>
    <row r="94" spans="1:16" x14ac:dyDescent="0.25">
      <c r="A94" s="23"/>
      <c r="B94" s="23"/>
      <c r="C94" s="22"/>
      <c r="D94" s="23"/>
      <c r="E94" s="23">
        <f>COUNTA(A94)</f>
        <v>0</v>
      </c>
      <c r="F94" s="23">
        <f>E94+F93</f>
        <v>20</v>
      </c>
      <c r="G94" s="25" t="str">
        <f>IF(A94="","C",IF(F94&lt;=0.2*$A$1,"A",IF(F94&lt;=0.5*$A$1,"B","C")))</f>
        <v>C</v>
      </c>
      <c r="H94" s="34">
        <f t="shared" si="1"/>
        <v>0</v>
      </c>
      <c r="I94" s="22"/>
      <c r="J94" s="26" t="str">
        <f>IFERROR(VLOOKUP(I94,'Auxiliar (Foco interno)'!$A$2:$D$4,4,0),"")</f>
        <v/>
      </c>
      <c r="K94" s="22"/>
      <c r="L94" s="26" t="str">
        <f>IFERROR(VLOOKUP(K94,'Auxiliar (Foco interno)'!$E$2:$H$4,4,0),"")</f>
        <v/>
      </c>
      <c r="M94" s="22"/>
      <c r="N94" s="26" t="str">
        <f>IFERROR(VLOOKUP(M94,'Auxiliar (Foco interno)'!$I$2:$L$4,4,0),"")</f>
        <v/>
      </c>
      <c r="O94" s="22"/>
      <c r="P94" s="26" t="str">
        <f>IFERROR(VLOOKUP(O94,'Auxiliar (Foco interno)'!$M$2:$P$4,4,0),"")</f>
        <v/>
      </c>
    </row>
    <row r="95" spans="1:16" x14ac:dyDescent="0.25">
      <c r="A95" s="23"/>
      <c r="B95" s="23"/>
      <c r="C95" s="22"/>
      <c r="D95" s="23"/>
      <c r="E95" s="23">
        <f>COUNTA(A95)</f>
        <v>0</v>
      </c>
      <c r="F95" s="23">
        <f>E95+F94</f>
        <v>20</v>
      </c>
      <c r="G95" s="25" t="str">
        <f>IF(A95="","C",IF(F95&lt;=0.2*$A$1,"A",IF(F95&lt;=0.5*$A$1,"B","C")))</f>
        <v>C</v>
      </c>
      <c r="H95" s="34">
        <f t="shared" si="1"/>
        <v>0</v>
      </c>
      <c r="I95" s="22"/>
      <c r="J95" s="26" t="str">
        <f>IFERROR(VLOOKUP(I95,'Auxiliar (Foco interno)'!$A$2:$D$4,4,0),"")</f>
        <v/>
      </c>
      <c r="K95" s="22"/>
      <c r="L95" s="26" t="str">
        <f>IFERROR(VLOOKUP(K95,'Auxiliar (Foco interno)'!$E$2:$H$4,4,0),"")</f>
        <v/>
      </c>
      <c r="M95" s="22"/>
      <c r="N95" s="26" t="str">
        <f>IFERROR(VLOOKUP(M95,'Auxiliar (Foco interno)'!$I$2:$L$4,4,0),"")</f>
        <v/>
      </c>
      <c r="O95" s="22"/>
      <c r="P95" s="26" t="str">
        <f>IFERROR(VLOOKUP(O95,'Auxiliar (Foco interno)'!$M$2:$P$4,4,0),"")</f>
        <v/>
      </c>
    </row>
    <row r="96" spans="1:16" x14ac:dyDescent="0.25">
      <c r="A96" s="23"/>
      <c r="B96" s="23"/>
      <c r="C96" s="22"/>
      <c r="D96" s="23"/>
      <c r="E96" s="23">
        <f>COUNTA(A96)</f>
        <v>0</v>
      </c>
      <c r="F96" s="23">
        <f>E96+F95</f>
        <v>20</v>
      </c>
      <c r="G96" s="25" t="str">
        <f>IF(A96="","C",IF(F96&lt;=0.2*$A$1,"A",IF(F96&lt;=0.5*$A$1,"B","C")))</f>
        <v>C</v>
      </c>
      <c r="H96" s="34">
        <f t="shared" si="1"/>
        <v>0</v>
      </c>
      <c r="I96" s="22"/>
      <c r="J96" s="26" t="str">
        <f>IFERROR(VLOOKUP(I96,'Auxiliar (Foco interno)'!$A$2:$D$4,4,0),"")</f>
        <v/>
      </c>
      <c r="K96" s="22"/>
      <c r="L96" s="26" t="str">
        <f>IFERROR(VLOOKUP(K96,'Auxiliar (Foco interno)'!$E$2:$H$4,4,0),"")</f>
        <v/>
      </c>
      <c r="M96" s="22"/>
      <c r="N96" s="26" t="str">
        <f>IFERROR(VLOOKUP(M96,'Auxiliar (Foco interno)'!$I$2:$L$4,4,0),"")</f>
        <v/>
      </c>
      <c r="O96" s="22"/>
      <c r="P96" s="26" t="str">
        <f>IFERROR(VLOOKUP(O96,'Auxiliar (Foco interno)'!$M$2:$P$4,4,0),"")</f>
        <v/>
      </c>
    </row>
    <row r="97" spans="1:16" x14ac:dyDescent="0.25">
      <c r="A97" s="23"/>
      <c r="B97" s="23"/>
      <c r="C97" s="22"/>
      <c r="D97" s="23"/>
      <c r="E97" s="23">
        <f>COUNTA(A97)</f>
        <v>0</v>
      </c>
      <c r="F97" s="23">
        <f>E97+F96</f>
        <v>20</v>
      </c>
      <c r="G97" s="25" t="str">
        <f>IF(A97="","C",IF(F97&lt;=0.2*$A$1,"A",IF(F97&lt;=0.5*$A$1,"B","C")))</f>
        <v>C</v>
      </c>
      <c r="H97" s="34">
        <f t="shared" si="1"/>
        <v>0</v>
      </c>
      <c r="I97" s="22"/>
      <c r="J97" s="26" t="str">
        <f>IFERROR(VLOOKUP(I97,'Auxiliar (Foco interno)'!$A$2:$D$4,4,0),"")</f>
        <v/>
      </c>
      <c r="K97" s="22"/>
      <c r="L97" s="26" t="str">
        <f>IFERROR(VLOOKUP(K97,'Auxiliar (Foco interno)'!$E$2:$H$4,4,0),"")</f>
        <v/>
      </c>
      <c r="M97" s="22"/>
      <c r="N97" s="26" t="str">
        <f>IFERROR(VLOOKUP(M97,'Auxiliar (Foco interno)'!$I$2:$L$4,4,0),"")</f>
        <v/>
      </c>
      <c r="O97" s="22"/>
      <c r="P97" s="26" t="str">
        <f>IFERROR(VLOOKUP(O97,'Auxiliar (Foco interno)'!$M$2:$P$4,4,0),"")</f>
        <v/>
      </c>
    </row>
    <row r="98" spans="1:16" x14ac:dyDescent="0.25">
      <c r="A98" s="23"/>
      <c r="B98" s="23"/>
      <c r="C98" s="22"/>
      <c r="D98" s="23"/>
      <c r="E98" s="23">
        <f>COUNTA(A98)</f>
        <v>0</v>
      </c>
      <c r="F98" s="23">
        <f>E98+F97</f>
        <v>20</v>
      </c>
      <c r="G98" s="25" t="str">
        <f>IF(A98="","C",IF(F98&lt;=0.2*$A$1,"A",IF(F98&lt;=0.5*$A$1,"B","C")))</f>
        <v>C</v>
      </c>
      <c r="H98" s="34">
        <f t="shared" si="1"/>
        <v>0</v>
      </c>
      <c r="I98" s="22"/>
      <c r="J98" s="26" t="str">
        <f>IFERROR(VLOOKUP(I98,'Auxiliar (Foco interno)'!$A$2:$D$4,4,0),"")</f>
        <v/>
      </c>
      <c r="K98" s="22"/>
      <c r="L98" s="26" t="str">
        <f>IFERROR(VLOOKUP(K98,'Auxiliar (Foco interno)'!$E$2:$H$4,4,0),"")</f>
        <v/>
      </c>
      <c r="M98" s="22"/>
      <c r="N98" s="26" t="str">
        <f>IFERROR(VLOOKUP(M98,'Auxiliar (Foco interno)'!$I$2:$L$4,4,0),"")</f>
        <v/>
      </c>
      <c r="O98" s="22"/>
      <c r="P98" s="26" t="str">
        <f>IFERROR(VLOOKUP(O98,'Auxiliar (Foco interno)'!$M$2:$P$4,4,0),"")</f>
        <v/>
      </c>
    </row>
    <row r="99" spans="1:16" x14ac:dyDescent="0.25">
      <c r="A99" s="23"/>
      <c r="B99" s="23"/>
      <c r="C99" s="22"/>
      <c r="D99" s="23"/>
      <c r="E99" s="23">
        <f>COUNTA(A99)</f>
        <v>0</v>
      </c>
      <c r="F99" s="23">
        <f>E99+F98</f>
        <v>20</v>
      </c>
      <c r="G99" s="25" t="str">
        <f>IF(A99="","C",IF(F99&lt;=0.2*$A$1,"A",IF(F99&lt;=0.5*$A$1,"B","C")))</f>
        <v>C</v>
      </c>
      <c r="H99" s="34">
        <f t="shared" si="1"/>
        <v>0</v>
      </c>
      <c r="I99" s="22"/>
      <c r="J99" s="26" t="str">
        <f>IFERROR(VLOOKUP(I99,'Auxiliar (Foco interno)'!$A$2:$D$4,4,0),"")</f>
        <v/>
      </c>
      <c r="K99" s="22"/>
      <c r="L99" s="26" t="str">
        <f>IFERROR(VLOOKUP(K99,'Auxiliar (Foco interno)'!$E$2:$H$4,4,0),"")</f>
        <v/>
      </c>
      <c r="M99" s="22"/>
      <c r="N99" s="26" t="str">
        <f>IFERROR(VLOOKUP(M99,'Auxiliar (Foco interno)'!$I$2:$L$4,4,0),"")</f>
        <v/>
      </c>
      <c r="O99" s="22"/>
      <c r="P99" s="26" t="str">
        <f>IFERROR(VLOOKUP(O99,'Auxiliar (Foco interno)'!$M$2:$P$4,4,0),"")</f>
        <v/>
      </c>
    </row>
    <row r="100" spans="1:16" x14ac:dyDescent="0.25">
      <c r="A100" s="23"/>
      <c r="B100" s="23"/>
      <c r="C100" s="22"/>
      <c r="D100" s="23"/>
      <c r="E100" s="23">
        <f>COUNTA(A100)</f>
        <v>0</v>
      </c>
      <c r="F100" s="23">
        <f>E100+F99</f>
        <v>20</v>
      </c>
      <c r="G100" s="25" t="str">
        <f>IF(A100="","C",IF(F100&lt;=0.2*$A$1,"A",IF(F100&lt;=0.5*$A$1,"B","C")))</f>
        <v>C</v>
      </c>
      <c r="H100" s="34">
        <f t="shared" si="1"/>
        <v>0</v>
      </c>
      <c r="I100" s="22"/>
      <c r="J100" s="26" t="str">
        <f>IFERROR(VLOOKUP(I100,'Auxiliar (Foco interno)'!$A$2:$D$4,4,0),"")</f>
        <v/>
      </c>
      <c r="K100" s="22"/>
      <c r="L100" s="26" t="str">
        <f>IFERROR(VLOOKUP(K100,'Auxiliar (Foco interno)'!$E$2:$H$4,4,0),"")</f>
        <v/>
      </c>
      <c r="M100" s="22"/>
      <c r="N100" s="26" t="str">
        <f>IFERROR(VLOOKUP(M100,'Auxiliar (Foco interno)'!$I$2:$L$4,4,0),"")</f>
        <v/>
      </c>
      <c r="O100" s="22"/>
      <c r="P100" s="26" t="str">
        <f>IFERROR(VLOOKUP(O100,'Auxiliar (Foco interno)'!$M$2:$P$4,4,0),"")</f>
        <v/>
      </c>
    </row>
    <row r="101" spans="1:16" x14ac:dyDescent="0.25">
      <c r="A101" s="23"/>
      <c r="B101" s="23"/>
      <c r="C101" s="22"/>
      <c r="D101" s="23"/>
      <c r="E101" s="23">
        <f>COUNTA(A101)</f>
        <v>0</v>
      </c>
      <c r="F101" s="23">
        <f>E101+F100</f>
        <v>20</v>
      </c>
      <c r="G101" s="25" t="str">
        <f>IF(A101="","C",IF(F101&lt;=0.2*$A$1,"A",IF(F101&lt;=0.5*$A$1,"B","C")))</f>
        <v>C</v>
      </c>
      <c r="H101" s="34">
        <f t="shared" si="1"/>
        <v>0</v>
      </c>
      <c r="I101" s="22"/>
      <c r="J101" s="26" t="str">
        <f>IFERROR(VLOOKUP(I101,'Auxiliar (Foco interno)'!$A$2:$D$4,4,0),"")</f>
        <v/>
      </c>
      <c r="K101" s="22"/>
      <c r="L101" s="26" t="str">
        <f>IFERROR(VLOOKUP(K101,'Auxiliar (Foco interno)'!$E$2:$H$4,4,0),"")</f>
        <v/>
      </c>
      <c r="M101" s="22"/>
      <c r="N101" s="26" t="str">
        <f>IFERROR(VLOOKUP(M101,'Auxiliar (Foco interno)'!$I$2:$L$4,4,0),"")</f>
        <v/>
      </c>
      <c r="O101" s="22"/>
      <c r="P101" s="26" t="str">
        <f>IFERROR(VLOOKUP(O101,'Auxiliar (Foco interno)'!$M$2:$P$4,4,0),"")</f>
        <v/>
      </c>
    </row>
  </sheetData>
  <autoFilter ref="A2:P23" xr:uid="{00000000-0009-0000-0000-000000000000}">
    <sortState xmlns:xlrd2="http://schemas.microsoft.com/office/spreadsheetml/2017/richdata2" ref="A4:P23">
      <sortCondition descending="1" ref="H2:H23"/>
    </sortState>
  </autoFilter>
  <conditionalFormatting sqref="G2:G101">
    <cfRule type="expression" dxfId="2" priority="1">
      <formula>G2="C"</formula>
    </cfRule>
    <cfRule type="expression" dxfId="1" priority="2">
      <formula>G2="B"</formula>
    </cfRule>
    <cfRule type="expression" dxfId="0" priority="3">
      <formula>G2="A"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682A276-7BAA-4020-AD2B-A7AEF8CF17E2}">
          <x14:formula1>
            <xm:f>'Auxiliar (Foco externo)'!$I$2:$I$4</xm:f>
          </x14:formula1>
          <xm:sqref>M5:M101</xm:sqref>
        </x14:dataValidation>
        <x14:dataValidation type="list" allowBlank="1" showInputMessage="1" showErrorMessage="1" xr:uid="{BF016C1E-63B4-4608-9625-1E4CB8A16632}">
          <x14:formula1>
            <xm:f>'Auxiliar (Foco externo)'!$E$2:$E$4</xm:f>
          </x14:formula1>
          <xm:sqref>K5:K101</xm:sqref>
        </x14:dataValidation>
        <x14:dataValidation type="list" allowBlank="1" showInputMessage="1" showErrorMessage="1" xr:uid="{CACBA176-094D-44CC-878D-F6A2854C3418}">
          <x14:formula1>
            <xm:f>'Auxiliar (Foco interno)'!$A$2:$A$4</xm:f>
          </x14:formula1>
          <xm:sqref>I4:I101</xm:sqref>
        </x14:dataValidation>
        <x14:dataValidation type="list" allowBlank="1" showInputMessage="1" showErrorMessage="1" xr:uid="{56138EB0-18D4-48A9-89C4-6C4A5C72C1F7}">
          <x14:formula1>
            <xm:f>'Auxiliar (Foco interno)'!$E$2:$E$4</xm:f>
          </x14:formula1>
          <xm:sqref>K4</xm:sqref>
        </x14:dataValidation>
        <x14:dataValidation type="list" allowBlank="1" showInputMessage="1" showErrorMessage="1" xr:uid="{6C233E56-8FD9-40BD-8A17-9466DC4FA372}">
          <x14:formula1>
            <xm:f>'Auxiliar (Foco interno)'!$I$2:$I$4</xm:f>
          </x14:formula1>
          <xm:sqref>M4</xm:sqref>
        </x14:dataValidation>
        <x14:dataValidation type="list" allowBlank="1" showInputMessage="1" showErrorMessage="1" xr:uid="{073EE2C3-710F-4E13-B4DF-A73ED8CE7296}">
          <x14:formula1>
            <xm:f>'Auxiliar (Foco interno)'!$M$2:$M$4</xm:f>
          </x14:formula1>
          <xm:sqref>O4:O101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AF4A-4E82-403C-BBA7-27A31A1557EB}">
  <sheetPr codeName="Plan5"/>
  <dimension ref="A1:P12"/>
  <sheetViews>
    <sheetView showGridLines="0" topLeftCell="B1" zoomScale="90" zoomScaleNormal="90" workbookViewId="0">
      <selection activeCell="A10" sqref="A10"/>
    </sheetView>
  </sheetViews>
  <sheetFormatPr defaultRowHeight="15" x14ac:dyDescent="0.25"/>
  <cols>
    <col min="1" max="1" width="33.5703125" style="13" customWidth="1"/>
    <col min="2" max="2" width="7.85546875" style="13" customWidth="1"/>
    <col min="3" max="3" width="7.85546875" style="13" bestFit="1" customWidth="1"/>
    <col min="4" max="4" width="5.85546875" style="13" bestFit="1" customWidth="1"/>
    <col min="5" max="5" width="40.85546875" style="13" customWidth="1"/>
    <col min="6" max="6" width="5.5703125" style="13" bestFit="1" customWidth="1"/>
    <col min="7" max="7" width="7.85546875" style="13" bestFit="1" customWidth="1"/>
    <col min="8" max="8" width="5.85546875" style="13" bestFit="1" customWidth="1"/>
    <col min="9" max="9" width="42.28515625" style="13" customWidth="1"/>
    <col min="10" max="10" width="5.5703125" style="13" bestFit="1" customWidth="1"/>
    <col min="11" max="11" width="7.85546875" style="13" bestFit="1" customWidth="1"/>
    <col min="12" max="12" width="5.85546875" style="13" bestFit="1" customWidth="1"/>
    <col min="13" max="13" width="21.42578125" style="13" customWidth="1"/>
    <col min="14" max="14" width="5.5703125" style="13" bestFit="1" customWidth="1"/>
    <col min="15" max="15" width="7.85546875" style="13" bestFit="1" customWidth="1"/>
    <col min="16" max="16" width="5.85546875" style="13" bestFit="1" customWidth="1"/>
    <col min="17" max="16384" width="9.140625" style="13"/>
  </cols>
  <sheetData>
    <row r="1" spans="1:16" ht="56.25" customHeight="1" x14ac:dyDescent="0.25">
      <c r="A1" s="20" t="s">
        <v>124</v>
      </c>
      <c r="B1" s="4" t="s">
        <v>6</v>
      </c>
      <c r="C1" s="4" t="s">
        <v>7</v>
      </c>
      <c r="D1" s="4" t="s">
        <v>2</v>
      </c>
      <c r="E1" s="20" t="s">
        <v>125</v>
      </c>
      <c r="F1" s="4" t="s">
        <v>6</v>
      </c>
      <c r="G1" s="4" t="s">
        <v>7</v>
      </c>
      <c r="H1" s="4" t="s">
        <v>2</v>
      </c>
      <c r="I1" s="20" t="s">
        <v>126</v>
      </c>
      <c r="J1" s="4" t="s">
        <v>6</v>
      </c>
      <c r="K1" s="4" t="s">
        <v>7</v>
      </c>
      <c r="L1" s="4" t="s">
        <v>2</v>
      </c>
      <c r="M1" s="20" t="s">
        <v>127</v>
      </c>
      <c r="N1" s="4" t="s">
        <v>6</v>
      </c>
      <c r="O1" s="4" t="s">
        <v>7</v>
      </c>
      <c r="P1" s="4" t="s">
        <v>2</v>
      </c>
    </row>
    <row r="2" spans="1:16" ht="78.75" x14ac:dyDescent="0.25">
      <c r="A2" s="5" t="s">
        <v>128</v>
      </c>
      <c r="B2" s="6">
        <v>1</v>
      </c>
      <c r="C2" s="7">
        <v>10</v>
      </c>
      <c r="D2" s="7">
        <f>B2*C2</f>
        <v>10</v>
      </c>
      <c r="E2" s="5" t="s">
        <v>131</v>
      </c>
      <c r="F2" s="6">
        <v>1</v>
      </c>
      <c r="G2" s="7">
        <v>10</v>
      </c>
      <c r="H2" s="7">
        <f>F2*G2</f>
        <v>10</v>
      </c>
      <c r="I2" s="5" t="s">
        <v>135</v>
      </c>
      <c r="J2" s="6">
        <v>1</v>
      </c>
      <c r="K2" s="7">
        <v>10</v>
      </c>
      <c r="L2" s="7">
        <f>J2*K2</f>
        <v>10</v>
      </c>
      <c r="M2" s="5" t="s">
        <v>137</v>
      </c>
      <c r="N2" s="6">
        <v>1</v>
      </c>
      <c r="O2" s="7">
        <v>10</v>
      </c>
      <c r="P2" s="7">
        <f>N2*O2</f>
        <v>10</v>
      </c>
    </row>
    <row r="3" spans="1:16" ht="30.75" customHeight="1" x14ac:dyDescent="0.25">
      <c r="A3" s="5" t="s">
        <v>129</v>
      </c>
      <c r="B3" s="6">
        <v>1</v>
      </c>
      <c r="C3" s="7">
        <v>6</v>
      </c>
      <c r="D3" s="7">
        <f t="shared" ref="D3:D4" si="0">B3*C3</f>
        <v>6</v>
      </c>
      <c r="E3" s="5" t="s">
        <v>132</v>
      </c>
      <c r="F3" s="6">
        <v>1</v>
      </c>
      <c r="G3" s="7">
        <v>6</v>
      </c>
      <c r="H3" s="7">
        <f t="shared" ref="H3:H4" si="1">F3*G3</f>
        <v>6</v>
      </c>
      <c r="I3" s="5" t="s">
        <v>136</v>
      </c>
      <c r="J3" s="6">
        <v>1</v>
      </c>
      <c r="K3" s="8">
        <v>6</v>
      </c>
      <c r="L3" s="7">
        <f t="shared" ref="L3:L4" si="2">J3*K3</f>
        <v>6</v>
      </c>
      <c r="M3" s="5" t="s">
        <v>138</v>
      </c>
      <c r="N3" s="6">
        <v>1</v>
      </c>
      <c r="O3" s="7">
        <v>6</v>
      </c>
      <c r="P3" s="7">
        <f t="shared" ref="P3:P4" si="3">N3*O3</f>
        <v>6</v>
      </c>
    </row>
    <row r="4" spans="1:16" ht="63" x14ac:dyDescent="0.25">
      <c r="A4" s="5" t="s">
        <v>130</v>
      </c>
      <c r="B4" s="6">
        <v>1</v>
      </c>
      <c r="C4" s="8">
        <v>1</v>
      </c>
      <c r="D4" s="7">
        <f t="shared" si="0"/>
        <v>1</v>
      </c>
      <c r="E4" s="5" t="s">
        <v>133</v>
      </c>
      <c r="F4" s="6">
        <v>1</v>
      </c>
      <c r="G4" s="7">
        <v>1</v>
      </c>
      <c r="H4" s="7">
        <f t="shared" si="1"/>
        <v>1</v>
      </c>
      <c r="I4" s="5" t="s">
        <v>134</v>
      </c>
      <c r="J4" s="6">
        <v>1</v>
      </c>
      <c r="K4" s="7">
        <v>1</v>
      </c>
      <c r="L4" s="7">
        <f t="shared" si="2"/>
        <v>1</v>
      </c>
      <c r="M4" s="5" t="s">
        <v>139</v>
      </c>
      <c r="N4" s="6">
        <v>1</v>
      </c>
      <c r="O4" s="7">
        <v>1</v>
      </c>
      <c r="P4" s="7">
        <f t="shared" si="3"/>
        <v>1</v>
      </c>
    </row>
    <row r="7" spans="1:16" ht="15.75" x14ac:dyDescent="0.25">
      <c r="A7" s="4" t="s">
        <v>84</v>
      </c>
      <c r="B7" s="4" t="s">
        <v>6</v>
      </c>
    </row>
    <row r="8" spans="1:16" ht="31.5" x14ac:dyDescent="0.25">
      <c r="A8" s="20" t="s">
        <v>124</v>
      </c>
      <c r="B8" s="19">
        <v>0.2</v>
      </c>
    </row>
    <row r="9" spans="1:16" ht="31.5" x14ac:dyDescent="0.25">
      <c r="A9" s="20" t="s">
        <v>125</v>
      </c>
      <c r="B9" s="19">
        <v>0.2</v>
      </c>
    </row>
    <row r="10" spans="1:16" ht="47.25" x14ac:dyDescent="0.25">
      <c r="A10" s="20" t="s">
        <v>126</v>
      </c>
      <c r="B10" s="19">
        <v>0.2</v>
      </c>
    </row>
    <row r="11" spans="1:16" ht="47.25" x14ac:dyDescent="0.25">
      <c r="A11" s="20" t="s">
        <v>127</v>
      </c>
      <c r="B11" s="19">
        <v>0.4</v>
      </c>
    </row>
    <row r="12" spans="1:16" x14ac:dyDescent="0.25">
      <c r="B12" s="13">
        <f>SUM(B8:B11)</f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DFB35F0B09BA41AF54FC4903225F5B" ma:contentTypeVersion="12" ma:contentTypeDescription="Create a new document." ma:contentTypeScope="" ma:versionID="dabac917373acaa0ad9364e865d3da74">
  <xsd:schema xmlns:xsd="http://www.w3.org/2001/XMLSchema" xmlns:xs="http://www.w3.org/2001/XMLSchema" xmlns:p="http://schemas.microsoft.com/office/2006/metadata/properties" xmlns:ns2="eb33c5a6-54d1-477f-83bb-93291d03e373" xmlns:ns3="cd8cfd7d-5186-4715-9870-1f6c504c93d5" targetNamespace="http://schemas.microsoft.com/office/2006/metadata/properties" ma:root="true" ma:fieldsID="60cb03af02e1dac60109aae364f4f603" ns2:_="" ns3:_="">
    <xsd:import namespace="eb33c5a6-54d1-477f-83bb-93291d03e373"/>
    <xsd:import namespace="cd8cfd7d-5186-4715-9870-1f6c504c93d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8cfd7d-5186-4715-9870-1f6c504c9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E1EFBC-E300-4AA7-A0E8-D6FCEC8E664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0CFC0AF-7865-42FE-B5D4-5AD98D18E461}"/>
</file>

<file path=customXml/itemProps3.xml><?xml version="1.0" encoding="utf-8"?>
<ds:datastoreItem xmlns:ds="http://schemas.openxmlformats.org/officeDocument/2006/customXml" ds:itemID="{B2381077-0969-4D21-AA69-BA89DE11FFF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Estratégia</vt:lpstr>
      <vt:lpstr>Priorização (Foco externo)</vt:lpstr>
      <vt:lpstr>Peso critérios</vt:lpstr>
      <vt:lpstr>Auxiliar (Foco externo)</vt:lpstr>
      <vt:lpstr>Priorização (Foco interno)</vt:lpstr>
      <vt:lpstr>Auxiliar (Foco interno)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</dc:creator>
  <cp:lastModifiedBy>Felipe Alvares De Faria</cp:lastModifiedBy>
  <dcterms:created xsi:type="dcterms:W3CDTF">2019-03-28T18:30:36Z</dcterms:created>
  <dcterms:modified xsi:type="dcterms:W3CDTF">2021-03-30T15:04:44Z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