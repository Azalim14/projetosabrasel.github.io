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-120" yWindow="-120" windowWidth="20730" windowHeight="11160" tabRatio="927" activeTab="2"/>
  </bookViews>
  <sheets>
    <sheet name="P-Plano do projeto" sheetId="60" r:id="rId1"/>
    <sheet name="P-Escopo" sheetId="11" r:id="rId2"/>
    <sheet name="P-EAP" sheetId="54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KEY2" localSheetId="1" hidden="1">[1]COMPPROD!#REF!</definedName>
    <definedName name="______KEY2" localSheetId="0" hidden="1">[1]COMPPROD!#REF!</definedName>
    <definedName name="______KEY2" hidden="1">[1]COMPPROD!#REF!</definedName>
    <definedName name="_____KEY2" localSheetId="1" hidden="1">[1]COMPPROD!#REF!</definedName>
    <definedName name="_____KEY2" localSheetId="0" hidden="1">[1]COMPPROD!#REF!</definedName>
    <definedName name="_____KEY2" hidden="1">[1]COMPPROD!#REF!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g111" hidden="1">{#N/A,#N/A,FALSE,"PREÇO.CPV.CA60";#N/A,#N/A,FALSE,"PREÇO.CPV.TREFILADOS";#N/A,#N/A,FALSE,"PREÇO.CPV.CA50";#N/A,#N/A,FALSE,"PREÇO.CPV.FM";#N/A,#N/A,FALSE,"PREÇO-FOB"}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Out99" hidden="1">{#N/A,#N/A,FALSE,"SGP";#N/A,#N/A,FALSE,"SGI";#N/A,#N/A,FALSE,"SGC";#N/A,#N/A,FALSE,"SGS";#N/A,#N/A,FALSE,"SGB"}</definedName>
    <definedName name="____r" hidden="1">{"MULTIPLICAÇÃO",#N/A,FALSE,"Obras"}</definedName>
    <definedName name="____SPF01" hidden="1">{"MULTIPLICAÇÃO",#N/A,FALSE,"Obras"}</definedName>
    <definedName name="____SPF02" hidden="1">{"MULTIPLICAÇÃO",#N/A,FALSE,"Obras"}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" hidden="1">{#N/A,#N/A,FALSE,"Tabl. H1";#N/A,#N/A,FALSE,"Tabl. H2"}</definedName>
    <definedName name="____tab11" hidden="1">{#N/A,#N/A,FALSE,"Tabl. G1";#N/A,#N/A,FALSE,"Tabl. G2"}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" hidden="1">{#N/A,#N/A,FALSE,"Tabl. D1";#N/A,#N/A,FALSE,"Tabl. D1 b";#N/A,#N/A,FALSE,"Tabl. D2";#N/A,#N/A,FALSE,"Tabl. D2 b";#N/A,#N/A,FALSE,"Tabl. D3";#N/A,#N/A,FALSE,"Tabl. D4";#N/A,#N/A,FALSE,"Tabl. D5"}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_UB2" hidden="1">{"MULTIPLICAÇÃO",#N/A,FALSE,"Obras"}</definedName>
    <definedName name="____x1" hidden="1">{#N/A,#N/A,FALSE,"SGP";#N/A,#N/A,FALSE,"SGI";#N/A,#N/A,FALSE,"SGC";#N/A,#N/A,FALSE,"SGS";#N/A,#N/A,FALSE,"SGB"}</definedName>
    <definedName name="____x2" hidden="1">{#N/A,#N/A,FALSE,"SGP";#N/A,#N/A,FALSE,"SGI";#N/A,#N/A,FALSE,"SGC";#N/A,#N/A,FALSE,"SGS";#N/A,#N/A,FALSE,"SGB"}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g111" hidden="1">{#N/A,#N/A,FALSE,"PREÇO.CPV.CA60";#N/A,#N/A,FALSE,"PREÇO.CPV.TREFILADOS";#N/A,#N/A,FALSE,"PREÇO.CPV.CA50";#N/A,#N/A,FALSE,"PREÇO.CPV.FM";#N/A,#N/A,FALSE,"PREÇO-FOB"}</definedName>
    <definedName name="___KEY2" localSheetId="1" hidden="1">[1]COMPPROD!#REF!</definedName>
    <definedName name="___KEY2" localSheetId="0" hidden="1">[1]COMPPROD!#REF!</definedName>
    <definedName name="___KEY2" hidden="1">[1]COMPPROD!#REF!</definedName>
    <definedName name="___M2" hidden="1">{#N/A,#N/A,FALSE,"Tabl. G1";#N/A,#N/A,FALSE,"Tabl. G2"}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Out99" hidden="1">{#N/A,#N/A,FALSE,"SGP";#N/A,#N/A,FALSE,"SGI";#N/A,#N/A,FALSE,"SGC";#N/A,#N/A,FALSE,"SGS";#N/A,#N/A,FALSE,"SGB"}</definedName>
    <definedName name="___r" hidden="1">{"MULTIPLICAÇÃO",#N/A,FALSE,"Obras"}</definedName>
    <definedName name="___SPF01" hidden="1">{"MULTIPLICAÇÃO",#N/A,FALSE,"Obras"}</definedName>
    <definedName name="___SPF02" hidden="1">{"MULTIPLICAÇÃO",#N/A,FALSE,"Obras"}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" hidden="1">{#N/A,#N/A,FALSE,"Tabl. H1";#N/A,#N/A,FALSE,"Tabl. H2"}</definedName>
    <definedName name="___tab11" hidden="1">{#N/A,#N/A,FALSE,"Tabl. G1";#N/A,#N/A,FALSE,"Tabl. G2"}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" hidden="1">{#N/A,#N/A,FALSE,"Tabl. D1";#N/A,#N/A,FALSE,"Tabl. D1 b";#N/A,#N/A,FALSE,"Tabl. D2";#N/A,#N/A,FALSE,"Tabl. D2 b";#N/A,#N/A,FALSE,"Tabl. D3";#N/A,#N/A,FALSE,"Tabl. D4";#N/A,#N/A,FALSE,"Tabl. D5"}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UB2" hidden="1">{"MULTIPLICAÇÃO",#N/A,FALSE,"Obras"}</definedName>
    <definedName name="___x1" hidden="1">{#N/A,#N/A,FALSE,"SGP";#N/A,#N/A,FALSE,"SGI";#N/A,#N/A,FALSE,"SGC";#N/A,#N/A,FALSE,"SGS";#N/A,#N/A,FALSE,"SGB"}</definedName>
    <definedName name="___x2" hidden="1">{#N/A,#N/A,FALSE,"SGP";#N/A,#N/A,FALSE,"SGI";#N/A,#N/A,FALSE,"SGC";#N/A,#N/A,FALSE,"SGS";#N/A,#N/A,FALSE,"SGB"}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123Graph_F" localSheetId="1" hidden="1">[3]Mult!#REF!</definedName>
    <definedName name="__123Graph_F" localSheetId="0" hidden="1">[3]Mult!#REF!</definedName>
    <definedName name="__123Graph_F" hidden="1">[3]Mult!#REF!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g111" hidden="1">{#N/A,#N/A,FALSE,"PREÇO.CPV.CA60";#N/A,#N/A,FALSE,"PREÇO.CPV.TREFILADOS";#N/A,#N/A,FALSE,"PREÇO.CPV.CA50";#N/A,#N/A,FALSE,"PREÇO.CPV.FM";#N/A,#N/A,FALSE,"PREÇO-FOB"}</definedName>
    <definedName name="__KEY2" localSheetId="1" hidden="1">[1]COMPPROD!#REF!</definedName>
    <definedName name="__KEY2" localSheetId="0" hidden="1">[1]COMPPROD!#REF!</definedName>
    <definedName name="__KEY2" hidden="1">[1]COMPPROD!#REF!</definedName>
    <definedName name="__M2" hidden="1">{#N/A,#N/A,FALSE,"Tabl. G1";#N/A,#N/A,FALSE,"Tabl. G2"}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Out99" hidden="1">{#N/A,#N/A,FALSE,"SGP";#N/A,#N/A,FALSE,"SGI";#N/A,#N/A,FALSE,"SGC";#N/A,#N/A,FALSE,"SGS";#N/A,#N/A,FALSE,"SGB"}</definedName>
    <definedName name="__r" hidden="1">{"MULTIPLICAÇÃO",#N/A,FALSE,"Obras"}</definedName>
    <definedName name="__SPF01" hidden="1">{"MULTIPLICAÇÃO",#N/A,FALSE,"Obras"}</definedName>
    <definedName name="__SPF02" hidden="1">{"MULTIPLICAÇÃO",#N/A,FALSE,"Obras"}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" hidden="1">{#N/A,#N/A,FALSE,"Tabl. H1";#N/A,#N/A,FALSE,"Tabl. H2"}</definedName>
    <definedName name="__tab11" hidden="1">{#N/A,#N/A,FALSE,"Tabl. G1";#N/A,#N/A,FALSE,"Tabl. G2"}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" hidden="1">{#N/A,#N/A,FALSE,"Tabl. D1";#N/A,#N/A,FALSE,"Tabl. D1 b";#N/A,#N/A,FALSE,"Tabl. D2";#N/A,#N/A,FALSE,"Tabl. D2 b";#N/A,#N/A,FALSE,"Tabl. D3";#N/A,#N/A,FALSE,"Tabl. D4";#N/A,#N/A,FALSE,"Tabl. D5"}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_UB2" hidden="1">{"MULTIPLICAÇÃO",#N/A,FALSE,"Obras"}</definedName>
    <definedName name="__x1" hidden="1">{#N/A,#N/A,FALSE,"SGP";#N/A,#N/A,FALSE,"SGI";#N/A,#N/A,FALSE,"SGC";#N/A,#N/A,FALSE,"SGS";#N/A,#N/A,FALSE,"SGB"}</definedName>
    <definedName name="__x2" hidden="1">{#N/A,#N/A,FALSE,"SGP";#N/A,#N/A,FALSE,"SGI";#N/A,#N/A,FALSE,"SGC";#N/A,#N/A,FALSE,"SGS";#N/A,#N/A,FALSE,"SGB"}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Fill" localSheetId="1" hidden="1">[4]REAC1!#REF!</definedName>
    <definedName name="_Fill" localSheetId="0" hidden="1">[4]REAC1!#REF!</definedName>
    <definedName name="_Fill" hidden="1">[4]REAC1!#REF!</definedName>
    <definedName name="_Fill2" localSheetId="1" hidden="1">[4]REAC1!#REF!</definedName>
    <definedName name="_Fill2" localSheetId="0" hidden="1">[4]REAC1!#REF!</definedName>
    <definedName name="_Fill2" hidden="1">[4]REAC1!#REF!</definedName>
    <definedName name="_g111" hidden="1">{#N/A,#N/A,FALSE,"PREÇO.CPV.CA60";#N/A,#N/A,FALSE,"PREÇO.CPV.TREFILADOS";#N/A,#N/A,FALSE,"PREÇO.CPV.CA50";#N/A,#N/A,FALSE,"PREÇO.CPV.FM";#N/A,#N/A,FALSE,"PREÇO-FOB"}</definedName>
    <definedName name="_Key1" localSheetId="1" hidden="1">[5]PRODEENH!#REF!</definedName>
    <definedName name="_Key1" localSheetId="0" hidden="1">[5]PRODEENH!#REF!</definedName>
    <definedName name="_Key1" hidden="1">[5]PRODEENH!#REF!</definedName>
    <definedName name="_KEY2" localSheetId="1" hidden="1">[1]COMPPROD!#REF!</definedName>
    <definedName name="_KEY2" localSheetId="0" hidden="1">[1]COMPPROD!#REF!</definedName>
    <definedName name="_KEY2" hidden="1">[1]COMPPROD!#REF!</definedName>
    <definedName name="_mrn2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255</definedName>
    <definedName name="_Out99" hidden="1">{#N/A,#N/A,FALSE,"SGP";#N/A,#N/A,FALSE,"SGI";#N/A,#N/A,FALSE,"SGC";#N/A,#N/A,FALSE,"SGS";#N/A,#N/A,FALSE,"SGB"}</definedName>
    <definedName name="_r" hidden="1">{"MULTIPLICAÇÃO",#N/A,FALSE,"Obras"}</definedName>
    <definedName name="_Regression_Int" hidden="1">1</definedName>
    <definedName name="_Sort" localSheetId="1" hidden="1">#REF!</definedName>
    <definedName name="_Sort" localSheetId="0" hidden="1">#REF!</definedName>
    <definedName name="_Sort" hidden="1">#REF!</definedName>
    <definedName name="_SPF01" hidden="1">{"MULTIPLICAÇÃO",#N/A,FALSE,"Obras"}</definedName>
    <definedName name="_SPF02" hidden="1">{"MULTIPLICAÇÃO",#N/A,FALSE,"Obras"}</definedName>
    <definedName name="_ss1" hidden="1">{"'RR'!$A$2:$E$81"}</definedName>
    <definedName name="_ss2" hidden="1">{"'RR'!$A$2:$E$81"}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" hidden="1">{#N/A,#N/A,FALSE,"Tabl. H1";#N/A,#N/A,FALSE,"Tabl. H2"}</definedName>
    <definedName name="_tab11" hidden="1">{#N/A,#N/A,FALSE,"Tabl. G1";#N/A,#N/A,FALSE,"Tabl. G2"}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" hidden="1">{#N/A,#N/A,FALSE,"Tabl. D1";#N/A,#N/A,FALSE,"Tabl. D1 b";#N/A,#N/A,FALSE,"Tabl. D2";#N/A,#N/A,FALSE,"Tabl. D2 b";#N/A,#N/A,FALSE,"Tabl. D3";#N/A,#N/A,FALSE,"Tabl. D4";#N/A,#N/A,FALSE,"Tabl. D5"}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able2_In1" localSheetId="1" hidden="1">#REF!</definedName>
    <definedName name="_Table2_In1" localSheetId="0" hidden="1">#REF!</definedName>
    <definedName name="_Table2_In1" hidden="1">#REF!</definedName>
    <definedName name="_Table2_In2" localSheetId="1" hidden="1">#REF!</definedName>
    <definedName name="_Table2_In2" localSheetId="0" hidden="1">#REF!</definedName>
    <definedName name="_Table2_In2" hidden="1">#REF!</definedName>
    <definedName name="_Table2_Out" localSheetId="1" hidden="1">#REF!</definedName>
    <definedName name="_Table2_Out" localSheetId="0" hidden="1">#REF!</definedName>
    <definedName name="_Table2_Out" hidden="1">#REF!</definedName>
    <definedName name="_Table3_In2" localSheetId="1" hidden="1">#REF!</definedName>
    <definedName name="_Table3_In2" localSheetId="0" hidden="1">#REF!</definedName>
    <definedName name="_Table3_In2" hidden="1">#REF!</definedName>
    <definedName name="_UB2" hidden="1">{"MULTIPLICAÇÃO",#N/A,FALSE,"Obras"}</definedName>
    <definedName name="_w1" hidden="1">{"'RR'!$A$2:$E$81"}</definedName>
    <definedName name="_x1" hidden="1">{#N/A,#N/A,FALSE,"SGP";#N/A,#N/A,FALSE,"SGI";#N/A,#N/A,FALSE,"SGC";#N/A,#N/A,FALSE,"SGS";#N/A,#N/A,FALSE,"SGB"}</definedName>
    <definedName name="_x2" hidden="1">{#N/A,#N/A,FALSE,"SGP";#N/A,#N/A,FALSE,"SGI";#N/A,#N/A,FALSE,"SGC";#N/A,#N/A,FALSE,"SGS";#N/A,#N/A,FALSE,"SGB"}</definedName>
    <definedName name="a" hidden="1">{"'Total'!$A$1","'Total'!$A$3"}</definedName>
    <definedName name="aa" hidden="1">{#N/A,#N/A,FALSE,"Sheet1"}</definedName>
    <definedName name="AAA" hidden="1">{"'RR'!$A$2:$E$81"}</definedName>
    <definedName name="AAAA" hidden="1">{"MATRIZES",#N/A,FALSE,"Obras"}</definedName>
    <definedName name="aaaaa" hidden="1">{#N/A,#N/A,FALSE,"SGP";#N/A,#N/A,FALSE,"SGI";#N/A,#N/A,FALSE,"SGC";#N/A,#N/A,FALSE,"SGS";#N/A,#N/A,FALSE,"SGB"}</definedName>
    <definedName name="AAAAAAAAAAA" hidden="1">{"MULTIPLICAÇÃO",#N/A,FALSE,"Obras"}</definedName>
    <definedName name="aaaaaaaaaaaaaa" hidden="1">{"'RR'!$A$2:$E$81"}</definedName>
    <definedName name="AAAAAAAAAAAAAAAAAAAAAAAAAAAAAAAAAAAAAAAAAAAAAAAAAAAAAAAAAAAAAAAAAA" hidden="1">{"MULTIPLICAÇÃO",#N/A,FALSE,"Obras"}</definedName>
    <definedName name="aaadsaf" hidden="1">{"'RR'!$A$2:$E$81"}</definedName>
    <definedName name="aaqa" hidden="1">{#N/A,#N/A,FALSE,"PREÇO.CPV.CA60";#N/A,#N/A,FALSE,"PREÇO.CPV.TREFILADOS";#N/A,#N/A,FALSE,"PREÇO.CPV.CA50";#N/A,#N/A,FALSE,"PREÇO.CPV.FM";#N/A,#N/A,FALSE,"PREÇO-FOB"}</definedName>
    <definedName name="aaqa2" hidden="1">{#N/A,#N/A,FALSE,"PREÇO.CPV.CA60";#N/A,#N/A,FALSE,"PREÇO.CPV.TREFILADOS";#N/A,#N/A,FALSE,"PREÇO.CPV.CA50";#N/A,#N/A,FALSE,"PREÇO.CPV.FM";#N/A,#N/A,FALSE,"PREÇO-FOB"}</definedName>
    <definedName name="ababa" localSheetId="1" hidden="1">#REF!</definedName>
    <definedName name="ababa" localSheetId="0" hidden="1">#REF!</definedName>
    <definedName name="ababa" hidden="1">#REF!</definedName>
    <definedName name="abc" localSheetId="1" hidden="1">#REF!</definedName>
    <definedName name="abc" localSheetId="0" hidden="1">#REF!</definedName>
    <definedName name="abc" hidden="1">#REF!</definedName>
    <definedName name="abcde" hidden="1">{"'RR'!$A$2:$E$81"}</definedName>
    <definedName name="abcdef" hidden="1">{"'RR'!$A$2:$E$81"}</definedName>
    <definedName name="abcdefgh" hidden="1">{"'RR'!$A$2:$E$81"}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ddd" hidden="1">{#N/A,#N/A,FALSE,"Radar CONS Mês e Acum  3";#N/A,#N/A,FALSE,"Radar CONS Acum 4"}</definedName>
    <definedName name="adfadsf" hidden="1">{"'RR'!$A$2:$E$81"}</definedName>
    <definedName name="adsfadsfads" hidden="1">{"'RR'!$A$2:$E$81"}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fadsf" hidden="1">{"'RR'!$A$2:$E$81"}</definedName>
    <definedName name="afadsf.hasklfn" hidden="1">{"'RR'!$A$2:$E$81"}</definedName>
    <definedName name="afadsfads" hidden="1">{"'RR'!$A$2:$E$81"}</definedName>
    <definedName name="afadsfadsfads" hidden="1">{"'RR'!$A$2:$E$81"}</definedName>
    <definedName name="AFASD" hidden="1">{#N/A,#N/A,FALSE,"Tabl. G1";#N/A,#N/A,FALSE,"Tabl. G2"}</definedName>
    <definedName name="AFASDF" hidden="1">{#N/A,#N/A,FALSE,"Tabl. A1";#N/A,#N/A,FALSE,"Tabl. A1 b";#N/A,#N/A,FALSE,"Tabl. A2";#N/A,#N/A,FALSE,"Tabl. A2-1";#N/A,#N/A,FALSE,"Tabl. A2-2"}</definedName>
    <definedName name="afasdfadsfads" hidden="1">{"'RR'!$A$2:$E$81"}</definedName>
    <definedName name="afasfasdf" hidden="1">{"'RR'!$A$2:$E$81"}</definedName>
    <definedName name="afçlajsfç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ONSOR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ONSOR042002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szc" hidden="1">{"MULTIPLICAÇÃO",#N/A,FALSE,"Obras"}</definedName>
    <definedName name="aga" hidden="1">{"APOIO",#N/A,FALSE,"Obras"}</definedName>
    <definedName name="Agile">#REF!</definedName>
    <definedName name="AKAK" hidden="1">{#N/A,#N/A,FALSE,"Aging Summary";#N/A,#N/A,FALSE,"Ratio Analysis";#N/A,#N/A,FALSE,"Test 120 Day Accts";#N/A,#N/A,FALSE,"Tickmarks"}</definedName>
    <definedName name="ale" hidden="1">{"'Total'!$A$1","'Total'!$A$3"}</definedName>
    <definedName name="alfjçl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l" hidden="1">{"'Total'!$A$1","'Total'!$A$3"}</definedName>
    <definedName name="alpha" hidden="1">{"'Total'!$A$1","'Total'!$A$3"}</definedName>
    <definedName name="alphaa" hidden="1">{"'Total'!$A$1","'Total'!$A$3"}</definedName>
    <definedName name="Ambie" hidden="1">{"'Total'!$A$1","'Total'!$A$3"}</definedName>
    <definedName name="Ambiencia1" hidden="1">{"'Total'!$A$1","'Total'!$A$3"}</definedName>
    <definedName name="Ana" hidden="1">{#N/A,#N/A,TRUE,"K2 e MEIA";#N/A,#N/A,TRUE,"K3";#N/A,#N/A,TRUE,"K4";#N/A,#N/A,TRUE,"PERFIL U";#N/A,#N/A,TRUE,"BCHA"}</definedName>
    <definedName name="andre" hidden="1">{#N/A,#N/A,FALSE,"Tabl. FB300";#N/A,#N/A,FALSE,"Tabl. FB350";#N/A,#N/A,FALSE,"Tabl. FB400";#N/A,#N/A,FALSE,"Tabl. FB500";#N/A,#N/A,FALSE,"Tabl. FS090"}</definedName>
    <definedName name="anscount" hidden="1">1</definedName>
    <definedName name="Ap" hidden="1">{"'RR'!$A$2:$E$81"}</definedName>
    <definedName name="Ap_input_22R" hidden="1">{#N/A,#N/A,FALSE,"Sheet1"}</definedName>
    <definedName name="apagar" hidden="1">{#N/A,#N/A,FALSE,"Tabl. D1";#N/A,#N/A,FALSE,"Tabl. D1 b";#N/A,#N/A,FALSE,"Tabl. D2";#N/A,#N/A,FALSE,"Tabl. D2 b";#N/A,#N/A,FALSE,"Tabl. D3";#N/A,#N/A,FALSE,"Tabl. D4";#N/A,#N/A,FALSE,"Tabl. D5"}</definedName>
    <definedName name="APOIO" hidden="1">{"APOIO",#N/A,FALSE,"Obras"}</definedName>
    <definedName name="as" hidden="1">47</definedName>
    <definedName name="AS2DocOpenMode" hidden="1">"AS2DocumentEdit"</definedName>
    <definedName name="asd" localSheetId="1" hidden="1">[4]REAC1!#REF!</definedName>
    <definedName name="asd" localSheetId="0" hidden="1">[4]REAC1!#REF!</definedName>
    <definedName name="asd" hidden="1">[4]REAC1!#REF!</definedName>
    <definedName name="asdf" hidden="1">{"'Total'!$A$1","'Total'!$A$3"}</definedName>
    <definedName name="asdfas" localSheetId="1" hidden="1">[4]REAC1!#REF!</definedName>
    <definedName name="asdfas" localSheetId="0" hidden="1">[4]REAC1!#REF!</definedName>
    <definedName name="asdfas" hidden="1">[4]REAC1!#REF!</definedName>
    <definedName name="ASDFASDF" hidden="1">{#N/A,#N/A,FALSE,"Tabl. H1";#N/A,#N/A,FALSE,"Tabl. H2"}</definedName>
    <definedName name="ASDFSDF" hidden="1">{#N/A,#N/A,FALSE,"Tabl. H1";#N/A,#N/A,FALSE,"Tabl. H2"}</definedName>
    <definedName name="ase" hidden="1">{#N/A,#N/A,FALSE,"PREÇO.CPV.CA60";#N/A,#N/A,FALSE,"PREÇO.CPV.TREFILADOS";#N/A,#N/A,FALSE,"PREÇO.CPV.CA50";#N/A,#N/A,FALSE,"PREÇO.CPV.FM";#N/A,#N/A,FALSE,"PREÇO-FOB"}</definedName>
    <definedName name="ASFADS" hidden="1">{#N/A,#N/A,FALSE,"Tabl. A1";#N/A,#N/A,FALSE,"Tabl. A1 b";#N/A,#N/A,FALSE,"Tabl. A2";#N/A,#N/A,FALSE,"Tabl. A2-1";#N/A,#N/A,FALSE,"Tabl. A2-2"}</definedName>
    <definedName name="ASFASDF" hidden="1">{#N/A,#N/A,FALSE,"Tabl. G1";#N/A,#N/A,FALSE,"Tabl. G2"}</definedName>
    <definedName name="askadlakdla" hidden="1">{"AVÓS",#N/A,FALSE,"Obras"}</definedName>
    <definedName name="asoihqasha" localSheetId="1" hidden="1">[4]REAC1!#REF!</definedName>
    <definedName name="asoihqasha" localSheetId="0" hidden="1">[4]REAC1!#REF!</definedName>
    <definedName name="asoihqasha" hidden="1">[4]REAC1!#REF!</definedName>
    <definedName name="asokdhua" hidden="1">{"MATRIZES",#N/A,FALSE,"Obras"}</definedName>
    <definedName name="atividades_fundaçao_tipo" localSheetId="1" hidden="1">[6]BD_Indicadores!#REF!</definedName>
    <definedName name="atividades_fundaçao_tipo" localSheetId="0" hidden="1">[6]BD_Indicadores!#REF!</definedName>
    <definedName name="atividades_fundaçao_tipo" hidden="1">[6]BD_Indicadores!#REF!</definedName>
    <definedName name="automatico" hidden="1">{"MULTIPLICAÇÃO",#N/A,FALSE,"Obras"}</definedName>
    <definedName name="Aux" hidden="1">{"'RR'!$A$2:$E$81"}</definedName>
    <definedName name="Auxiliar" hidden="1">{"'RR'!$A$2:$E$81"}</definedName>
    <definedName name="axaxax" hidden="1">{0,0,0,0;0,0,0,0;0,0,0,0;0,0,"",0;0,0,0,0}</definedName>
    <definedName name="axaxaxax" hidden="1">{0,0,"",0;0,0,0,0;0,0,0,0;0,0,0,0;0,0,0,0}</definedName>
    <definedName name="axz" hidden="1">{#N/A,#N/A,FALSE,"Aging Summary";#N/A,#N/A,FALSE,"Ratio Analysis";#N/A,#N/A,FALSE,"Test 120 Day Accts";#N/A,#N/A,FALSE,"Tickmarks"}</definedName>
    <definedName name="az" hidden="1">{"MULTIPLICAÇÃO",#N/A,FALSE,"Obras"}</definedName>
    <definedName name="b" hidden="1">{"'Total'!$A$1","'Total'!$A$3"}</definedName>
    <definedName name="BALANCAS1" hidden="1">{"AVÓS",#N/A,FALSE,"Obras"}</definedName>
    <definedName name="balancas2" hidden="1">{"AVÓS",#N/A,FALSE,"Obras"}</definedName>
    <definedName name="BALANÇAS2" hidden="1">{"MATRIZES",#N/A,FALSE,"Obras"}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azi" hidden="1">{"MULTIPLICAÇÃO",#N/A,FALSE,"Obras"}</definedName>
    <definedName name="bbb" hidden="1">{#N/A,#N/A,FALSE,"Tabl. G1";#N/A,#N/A,FALSE,"Tabl. G2"}</definedName>
    <definedName name="beta" hidden="1">{"'Total'!$A$1","'Total'!$A$3"}</definedName>
    <definedName name="BFR_reais_2" hidden="1">{#N/A,#N/A,FALSE,"Tabl. FB300";#N/A,#N/A,FALSE,"Tabl. FB350";#N/A,#N/A,FALSE,"Tabl. FB400";#N/A,#N/A,FALSE,"Tabl. FB500";#N/A,#N/A,FALSE,"Tabl. FS090"}</definedName>
    <definedName name="bh" hidden="1">{"MATRIZES",#N/A,FALSE,"Obras"}</definedName>
    <definedName name="bn" hidden="1">{"MULTIPLICAÇÃO",#N/A,FALSE,"Obras"}</definedName>
    <definedName name="bnn" hidden="1">{#N/A,#N/A,FALSE,"Tabl. FB300";#N/A,#N/A,FALSE,"Tabl. FB350";#N/A,#N/A,FALSE,"Tabl. FB400";#N/A,#N/A,FALSE,"Tabl. FB500";#N/A,#N/A,FALSE,"Tabl. FS090"}</definedName>
    <definedName name="bombacloroproj08" hidden="1">{"MULTIPLICAÇÃO",#N/A,FALSE,"Obras"}</definedName>
    <definedName name="book2" hidden="1">{#N/A,#N/A,FALSE,"Sheet1"}</definedName>
    <definedName name="book3" hidden="1">{#N/A,#N/A,FALSE,"Sheet1"}</definedName>
    <definedName name="brid" hidden="1">{#N/A,#N/A,FALSE,"Aging Summary";#N/A,#N/A,FALSE,"Ratio Analysis";#N/A,#N/A,FALSE,"Test 120 Day Accts";#N/A,#N/A,FALSE,"Tickmarks"}</definedName>
    <definedName name="bridge" hidden="1">{#N/A,#N/A,FALSE,"Aging Summary";#N/A,#N/A,FALSE,"Ratio Analysis";#N/A,#N/A,FALSE,"Test 120 Day Accts";#N/A,#N/A,FALSE,"Tickmarks"}</definedName>
    <definedName name="bruno" localSheetId="1" hidden="1">[4]REAC1!#REF!</definedName>
    <definedName name="bruno" localSheetId="0" hidden="1">[4]REAC1!#REF!</definedName>
    <definedName name="bruno" hidden="1">[4]REAC1!#REF!</definedName>
    <definedName name="ç" hidden="1">{#N/A,#N/A,FALSE,"Tabl. D1";#N/A,#N/A,FALSE,"Tabl. D1 b";#N/A,#N/A,FALSE,"Tabl. D2";#N/A,#N/A,FALSE,"Tabl. D2 b";#N/A,#N/A,FALSE,"Tabl. D3";#N/A,#N/A,FALSE,"Tabl. D4";#N/A,#N/A,FALSE,"Tabl. D5"}</definedName>
    <definedName name="canot" hidden="1">{#N/A,#N/A,FALSE,"Tabl. FB300";#N/A,#N/A,FALSE,"Tabl. FB350";#N/A,#N/A,FALSE,"Tabl. FB400";#N/A,#N/A,FALSE,"Tabl. FB500";#N/A,#N/A,FALSE,"Tabl. FS090"}</definedName>
    <definedName name="Capa" hidden="1">{"'RR'!$A$2:$E$81"}</definedName>
    <definedName name="CAPA1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cc" hidden="1">{"'Total'!$A$1","'Total'!$A$3"}</definedName>
    <definedName name="ccc" hidden="1">{#N/A,#N/A,FALSE,"Tabl. FB300";#N/A,#N/A,FALSE,"Tabl. FB350";#N/A,#N/A,FALSE,"Tabl. FB400";#N/A,#N/A,FALSE,"Tabl. FB500";#N/A,#N/A,FALSE,"Tabl. FS090"}</definedName>
    <definedName name="ççç" hidden="1">{#N/A,#N/A,FALSE,"SGP";#N/A,#N/A,FALSE,"SGI";#N/A,#N/A,FALSE,"SGC";#N/A,#N/A,FALSE,"SGS";#N/A,#N/A,FALSE,"SGB"}</definedName>
    <definedName name="cccc" hidden="1">{"'Total'!$A$1","'Total'!$A$3"}</definedName>
    <definedName name="celta" hidden="1">{"'Total'!$A$1","'Total'!$A$3"}</definedName>
    <definedName name="champ" hidden="1">{#N/A,#N/A,FALSE,"Tabl. G1";#N/A,#N/A,FALSE,"Tabl. G2"}</definedName>
    <definedName name="Chun" hidden="1">{#N/A,#N/A,FALSE,"ORÇADOxREAL %M.P.";#N/A,#N/A,FALSE,"ORÇADOxREAL";#N/A,#N/A,FALSE,"Receb. Clientes";#N/A,#N/A,FALSE,"Pgto Fornecedores";#N/A,#N/A,FALSE,"% M.P.";#N/A,#N/A,FALSE,"Faturamento M²";#N/A,#N/A,FALSE,"IC"}</definedName>
    <definedName name="çlaj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udio" hidden="1">{"MATRIZES",#N/A,FALSE,"Obras"}</definedName>
    <definedName name="çlkafjç" hidden="1">{"'RR'!$A$2:$E$81"}</definedName>
    <definedName name="comed" hidden="1">{"MULTIPLICAÇÃO",#N/A,FALSE,"Obras"}</definedName>
    <definedName name="COMEDOURO" hidden="1">{"MULTIPLICAÇÃO",#N/A,FALSE,"Obras"}</definedName>
    <definedName name="comedouros" hidden="1">{"MULTIPLICAÇÃO",#N/A,FALSE,"Obras"}</definedName>
    <definedName name="cronograma" hidden="1">{"MULTIPLICAÇÃO",#N/A,FALSE,"Obras"}</definedName>
    <definedName name="cv" hidden="1">{#N/A,#N/A,FALSE,"Tabl. G1";#N/A,#N/A,FALSE,"Tabl. G2"}</definedName>
    <definedName name="Cwvu.GREY_ALL." localSheetId="1" hidden="1">[7]Sheet2!#REF!</definedName>
    <definedName name="Cwvu.GREY_ALL." localSheetId="0" hidden="1">[7]Sheet2!#REF!</definedName>
    <definedName name="Cwvu.GREY_ALL." hidden="1">[7]Sheet2!#REF!</definedName>
    <definedName name="d" hidden="1">{#N/A,#N/A,FALSE,"Tabl. G1";#N/A,#N/A,FALSE,"Tabl. G2"}</definedName>
    <definedName name="da" hidden="1">{"'RR'!$A$2:$E$81"}</definedName>
    <definedName name="dad" hidden="1">{"AVÓS",#N/A,FALSE,"Obras"}</definedName>
    <definedName name="daniel" hidden="1">{"'RR'!$A$2:$E$81"}</definedName>
    <definedName name="ddd" hidden="1">{#N/A,#N/A,FALSE,"Tabl. G1";#N/A,#N/A,FALSE,"Tabl. G2"}</definedName>
    <definedName name="dddddd" hidden="1">{#N/A,#N/A,FALSE,"Tabl. FB300";#N/A,#N/A,FALSE,"Tabl. FB350";#N/A,#N/A,FALSE,"Tabl. FB400";#N/A,#N/A,FALSE,"Tabl. FB500";#N/A,#N/A,FALSE,"Tabl. FS090"}</definedName>
    <definedName name="ddddddd" hidden="1">{"'RR'!$A$2:$E$81"}</definedName>
    <definedName name="DEIP_Atual" hidden="1">{"'RR'!$A$2:$E$81"}</definedName>
    <definedName name="depp" hidden="1">{"'RR'!$A$2:$E$81"}</definedName>
    <definedName name="Despes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FASDFASD" hidden="1">{#N/A,#N/A,FALSE,"Tabl. A1";#N/A,#N/A,FALSE,"Tabl. A1 b";#N/A,#N/A,FALSE,"Tabl. A2";#N/A,#N/A,FALSE,"Tabl. A2-1";#N/A,#N/A,FALSE,"Tabl. A2-2"}</definedName>
    <definedName name="dfd" hidden="1">{#N/A,#N/A,FALSE,"Aging Summary";#N/A,#N/A,FALSE,"Ratio Analysis";#N/A,#N/A,FALSE,"Test 120 Day Accts";#N/A,#N/A,FALSE,"Tickmarks"}</definedName>
    <definedName name="DFDFDGDF" hidden="1">{#N/A,#N/A,FALSE,"Tabl. D1";#N/A,#N/A,FALSE,"Tabl. D1 b";#N/A,#N/A,FALSE,"Tabl. D2";#N/A,#N/A,FALSE,"Tabl. D2 b";#N/A,#N/A,FALSE,"Tabl. D3";#N/A,#N/A,FALSE,"Tabl. D4";#N/A,#N/A,FALSE,"Tabl. D5"}</definedName>
    <definedName name="dfdfg" hidden="1">{#N/A,#N/A,FALSE,"Aging Summary";#N/A,#N/A,FALSE,"Ratio Analysis";#N/A,#N/A,FALSE,"Test 120 Day Accts";#N/A,#N/A,FALSE,"Tickmarks"}</definedName>
    <definedName name="DFGDFGDFSG" hidden="1">{#N/A,#N/A,FALSE,"Tabl. A1";#N/A,#N/A,FALSE,"Tabl. A1 b";#N/A,#N/A,FALSE,"Tabl. A2";#N/A,#N/A,FALSE,"Tabl. A2-1";#N/A,#N/A,FALSE,"Tabl. A2-2"}</definedName>
    <definedName name="DFGDSFGDSFSG" hidden="1">{#N/A,#N/A,FALSE,"Tabl. A1";#N/A,#N/A,FALSE,"Tabl. A1 b";#N/A,#N/A,FALSE,"Tabl. A2";#N/A,#N/A,FALSE,"Tabl. A2-1";#N/A,#N/A,FALSE,"Tabl. A2-2"}</definedName>
    <definedName name="DFGSDFG" hidden="1">{#N/A,#N/A,FALSE,"Tabl. H1";#N/A,#N/A,FALSE,"Tabl. H2"}</definedName>
    <definedName name="Dias">{0,1,2,3,4,5,6} + {0;1;2;3;4;5}*7</definedName>
    <definedName name="dksndas" hidden="1">{"'RR'!$A$2:$E$81"}</definedName>
    <definedName name="dm" hidden="1">{"APOIO",#N/A,FALSE,"Obras"}</definedName>
    <definedName name="ds" hidden="1">{"MULTIPLICAÇÃO",#N/A,FALSE,"Obras"}</definedName>
    <definedName name="dsa" hidden="1">{#N/A,#N/A,FALSE,"Aging Summary";#N/A,#N/A,FALSE,"Ratio Analysis";#N/A,#N/A,FALSE,"Test 120 Day Accts";#N/A,#N/A,FALSE,"Tickmarks"}</definedName>
    <definedName name="dsafas" localSheetId="1" hidden="1">[4]REAC1!#REF!</definedName>
    <definedName name="dsafas" localSheetId="0" hidden="1">[4]REAC1!#REF!</definedName>
    <definedName name="dsafas" hidden="1">[4]REAC1!#REF!</definedName>
    <definedName name="dsagdhasdashfdj" hidden="1">{"'RR'!$A$2:$E$81"}</definedName>
    <definedName name="dsb" hidden="1">{"MULTIPLICAÇÃO",#N/A,FALSE,"Obras"}</definedName>
    <definedName name="dsd" localSheetId="1" hidden="1">[4]REAC1!#REF!</definedName>
    <definedName name="dsd" localSheetId="0" hidden="1">[4]REAC1!#REF!</definedName>
    <definedName name="dsd" hidden="1">[4]REAC1!#REF!</definedName>
    <definedName name="dsfafjçads" hidden="1">{"'RR'!$A$2:$E$81"}</definedName>
    <definedName name="dtjykty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{#N/A,#N/A,FALSE,"AOPESSOA2";#N/A,#N/A,FALSE,"AOPESSOA";#N/A,#N/A,FALSE,"AOPRODUC2";#N/A,#N/A,FALSE,"GRÁFICO3";#N/A,#N/A,FALSE,"AOCUSDIR12"}</definedName>
    <definedName name="e.3.1.a" hidden="1">{#N/A,#N/A,FALSE,"Tabl. G1";#N/A,#N/A,FALSE,"Tabl. G2"}</definedName>
    <definedName name="ea" hidden="1">{"AVÓS",#N/A,FALSE,"Obras"}</definedName>
    <definedName name="eee" hidden="1">{#N/A,#N/A,FALSE,"Tabl. H1";#N/A,#N/A,FALSE,"Tabl. H2"}</definedName>
    <definedName name="eeeeee" hidden="1">{#N/A,#N/A,FALSE,"SGP";#N/A,#N/A,FALSE,"SGI";#N/A,#N/A,FALSE,"SGC";#N/A,#N/A,FALSE,"SGS";#N/A,#N/A,FALSE,"SGB"}</definedName>
    <definedName name="Elicoide" hidden="1">{"MULTIPLICAÇÃO",#N/A,FALSE,"Obras"}</definedName>
    <definedName name="EMBALAGEM" hidden="1">{"MULTIPLICAÇÃO",#N/A,FALSE,"Obras"}</definedName>
    <definedName name="er" hidden="1">{"MULTIPLICAÇÃO",#N/A,FALSE,"Obras"}</definedName>
    <definedName name="ESTEI01" hidden="1">{"MULTIPLICAÇÃO",#N/A,FALSE,"Obras"}</definedName>
    <definedName name="ESTEI02" hidden="1">{"AVÓS",#N/A,FALSE,"Obras"}</definedName>
    <definedName name="ESTEIR02" hidden="1">{"MULTIPLICAÇÃO",#N/A,FALSE,"Obras"}</definedName>
    <definedName name="ESTEIRA" hidden="1">{"MULTIPLICAÇÃO",#N/A,FALSE,"Obras"}</definedName>
    <definedName name="ESTEIRA01" hidden="1">{"MELHORAMENTO GENÉTICO",#N/A,FALSE,"Obras"}</definedName>
    <definedName name="esteira02" hidden="1">{"MELHORAMENTO GENÉTICO",#N/A,FALSE,"Obras"}</definedName>
    <definedName name="ESTEIRA1" hidden="1">{"AVÓS",#N/A,FALSE,"Obras"}</definedName>
    <definedName name="Estoque_jan" hidden="1">{"'RR'!$A$2:$E$81"}</definedName>
    <definedName name="ew" hidden="1">{"MULTIPLICAÇÃO",#N/A,FALSE,"Obras"}</definedName>
    <definedName name="f" hidden="1">{#N/A,#N/A,FALSE,"Desp.Indir";#N/A,#N/A,FALSE,"Estoq"}</definedName>
    <definedName name="FADSFASD" hidden="1">{#N/A,#N/A,FALSE,"Tabl. G1";#N/A,#N/A,FALSE,"Tabl. G2"}</definedName>
    <definedName name="FAFASDAS" hidden="1">{#N/A,#N/A,FALSE,"Tabl. A1";#N/A,#N/A,FALSE,"Tabl. A1 b";#N/A,#N/A,FALSE,"Tabl. A2";#N/A,#N/A,FALSE,"Tabl. A2-1";#N/A,#N/A,FALSE,"Tabl. A2-2"}</definedName>
    <definedName name="Farol" hidden="1">{#N/A,#N/A,FALSE,"ORÇADOxREAL %M.P.";#N/A,#N/A,FALSE,"ORÇADOxREAL";#N/A,#N/A,FALSE,"Receb. Clientes";#N/A,#N/A,FALSE,"Pgto Fornecedores";#N/A,#N/A,FALSE,"% M.P.";#N/A,#N/A,FALSE,"Faturamento M²";#N/A,#N/A,FALSE,"IC"}</definedName>
    <definedName name="FASDFSDAF" hidden="1">{#N/A,#N/A,FALSE,"Tabl. FB300";#N/A,#N/A,FALSE,"Tabl. FB350";#N/A,#N/A,FALSE,"Tabl. FB400";#N/A,#N/A,FALSE,"Tabl. FB500";#N/A,#N/A,FALSE,"Tabl. FS090"}</definedName>
    <definedName name="FD" hidden="1">{#N/A,#N/A,FALSE,"HAVAIANAS 24";#N/A,#N/A,FALSE,"Havaianas Mês e Acum 25";#N/A,#N/A,FALSE,"Havaianas Acum 26";#N/A,#N/A,FALSE,"GRANDES VOLUMES 27";#N/A,#N/A,FALSE,"GDV Mês e Acum 28";#N/A,#N/A,FALSE,"GDV Acum 29"}</definedName>
    <definedName name="fddf" hidden="1">{"celkový rozpočet - detail",#N/A,FALSE,"Aktualizace č. 1"}</definedName>
    <definedName name="FDGDFG" hidden="1">{#N/A,#N/A,FALSE,"Tabl. H1";#N/A,#N/A,FALSE,"Tabl. H2"}</definedName>
    <definedName name="fds" localSheetId="1" hidden="1">[4]REAC1!#REF!</definedName>
    <definedName name="fds" localSheetId="0" hidden="1">[4]REAC1!#REF!</definedName>
    <definedName name="fds" hidden="1">[4]REAC1!#REF!</definedName>
    <definedName name="FERRAROP" hidden="1">{"MELHORAMENTO GENÉTICO",#N/A,FALSE,"Obras"}</definedName>
    <definedName name="FF" hidden="1">{"'RR'!$A$2:$E$81"}</definedName>
    <definedName name="fff" hidden="1">{"'Total'!$A$1","'Total'!$A$3"}</definedName>
    <definedName name="ffsgsdgsd" hidden="1">{#N/A,#N/A,FALSE,"Aging Summary";#N/A,#N/A,FALSE,"Ratio Analysis";#N/A,#N/A,FALSE,"Test 120 Day Accts";#N/A,#N/A,FALSE,"Tickmarks"}</definedName>
    <definedName name="ffv" hidden="1">{"'Total'!$A$1","'Total'!$A$3"}</definedName>
    <definedName name="fg" hidden="1">{"MULTIPLICAÇÃO",#N/A,FALSE,"Obras"}</definedName>
    <definedName name="fgdsgsdfgsdgsg" hidden="1">{"AVÓS",#N/A,FALSE,"Obras"}</definedName>
    <definedName name="fggfdfgf" hidden="1">{#N/A,#N/A,FALSE,"Aging Summary";#N/A,#N/A,FALSE,"Ratio Analysis";#N/A,#N/A,FALSE,"Test 120 Day Accts";#N/A,#N/A,FALSE,"Tickmarks"}</definedName>
    <definedName name="FGGFG" hidden="1">{#N/A,#N/A,FALSE,"Tabl. FB300";#N/A,#N/A,FALSE,"Tabl. FB350";#N/A,#N/A,FALSE,"Tabl. FB400";#N/A,#N/A,FALSE,"Tabl. FB500";#N/A,#N/A,FALSE,"Tabl. FS090"}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GX" hidden="1">{#N/A,#N/A,FALSE,"SGP";#N/A,#N/A,FALSE,"SGI";#N/A,#N/A,FALSE,"SGC";#N/A,#N/A,FALSE,"SGS";#N/A,#N/A,FALSE,"SGB"}</definedName>
    <definedName name="fhmghmyk" hidden="1">{"'RR'!$A$2:$E$81"}</definedName>
    <definedName name="fill" localSheetId="1" hidden="1">#REF!</definedName>
    <definedName name="fill" localSheetId="0" hidden="1">#REF!</definedName>
    <definedName name="fill" hidden="1">#REF!</definedName>
    <definedName name="fkjashlfknadskf" hidden="1">{"'RR'!$A$2:$E$81"}</definedName>
    <definedName name="Fluxo" hidden="1">{"'RR'!$A$2:$E$81"}</definedName>
    <definedName name="Fluxo_Atual_1" hidden="1">{#N/A,#N/A,FALSE,"O&amp;I Worksheet"}</definedName>
    <definedName name="Fluxo_elaborado" hidden="1">{#N/A,#N/A,FALSE,"HAVAIANAS 24";#N/A,#N/A,FALSE,"Havaianas Mês e Acum 25";#N/A,#N/A,FALSE,"Havaianas Acum 26";#N/A,#N/A,FALSE,"GRANDES VOLUMES 27";#N/A,#N/A,FALSE,"GDV Mês e Acum 28";#N/A,#N/A,FALSE,"GDV Acum 29"}</definedName>
    <definedName name="Fluxo1" hidden="1">{"'RR'!$A$2:$E$81"}</definedName>
    <definedName name="fluxo22" hidden="1">{"'RR'!$A$2:$E$81"}</definedName>
    <definedName name="fluxoatual" hidden="1">{"'RR'!$A$2:$E$81"}</definedName>
    <definedName name="Fx_manut2" hidden="1">{"AVÓS",#N/A,FALSE,"Obras"}</definedName>
    <definedName name="g" hidden="1">{"MULTIPLICAÇÃO",#N/A,FALSE,"Obras"}</definedName>
    <definedName name="GASGADF" hidden="1">{#N/A,#N/A,FALSE,"Tabl. FB300";#N/A,#N/A,FALSE,"Tabl. FB350";#N/A,#N/A,FALSE,"Tabl. FB400";#N/A,#N/A,FALSE,"Tabl. FB500";#N/A,#N/A,FALSE,"Tabl. FS090"}</definedName>
    <definedName name="gb" hidden="1">{"MULTIPLICAÇÃO",#N/A,FALSE,"Obras"}</definedName>
    <definedName name="ge" hidden="1">{"MULTIPLICAÇÃO",#N/A,FALSE,"Obras"}</definedName>
    <definedName name="gerenciador" hidden="1">{"AVÓS",#N/A,FALSE,"Obras"}</definedName>
    <definedName name="gfdgd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gg" hidden="1">{"AVÓS",#N/A,FALSE,"Obras"}</definedName>
    <definedName name="GGF" hidden="1">{#N/A,#N/A,FALSE,"COBERTURAS 30";#N/A,#N/A,FALSE,"COBERTURAS Mês e Acum 31";#N/A,#N/A,FALSE,"COBERTURAS Acum 32"}</definedName>
    <definedName name="GGF." hidden="1">{#N/A,#N/A,FALSE,"MIZUNO 21";#N/A,#N/A,FALSE,"Mizuno Mês e Acum 22";#N/A,#N/A,FALSE,"Mizuno Acum 23"}</definedName>
    <definedName name="ggg" hidden="1">{#N/A,#N/A,FALSE,"Tabl. G1";#N/A,#N/A,FALSE,"Tabl. G2"}</definedName>
    <definedName name="gggg" hidden="1">{#N/A,#N/A,FALSE,"Aging Summary";#N/A,#N/A,FALSE,"Ratio Analysis";#N/A,#N/A,FALSE,"Test 120 Day Accts";#N/A,#N/A,FALSE,"Tickmarks"}</definedName>
    <definedName name="ghju" hidden="1">{"'Total'!$A$1","'Total'!$A$3"}</definedName>
    <definedName name="ghsdhsd" hidden="1">{"MULTIPLICAÇÃO",#N/A,FALSE,"Obras"}</definedName>
    <definedName name="gkghku" hidden="1">{"'RR'!$A$2:$E$81"}</definedName>
    <definedName name="gkghkuuy" hidden="1">{"'RR'!$A$2:$E$81"}</definedName>
    <definedName name="gkuyulyu" hidden="1">{"'RR'!$A$2:$E$81"}</definedName>
    <definedName name="GRA" hidden="1">{"'Total'!$A$1","'Total'!$A$3"}</definedName>
    <definedName name="GráficoCurvaS_Custos_LinhaBase">INDIRECT('[8]D-CurvaS_Custos'!$H$10)</definedName>
    <definedName name="GráficoCurvaS_Custos_Realizado">INDIRECT('[8]D-CurvaS_Custos'!$I$10)</definedName>
    <definedName name="GráficoCurvaS_Custos_Rótulos">INDIRECT('[8]D-CurvaS_Custos'!$C$10)</definedName>
    <definedName name="GráficoCurvaS_Custos_Tendência">INDIRECT('[8]D-CurvaS_Custos'!$J$10)</definedName>
    <definedName name="GráficoPRZ.02_Concluído">INDIRECT(#REF!)</definedName>
    <definedName name="GráficoPRZ.02_Concluído_GSTI">INDIRECT(#REF!)</definedName>
    <definedName name="GráficoPRZ.02_Previsto">INDIRECT(#REF!)</definedName>
    <definedName name="GráficoPRZ.02_Previsto_GSTI">INDIRECT(#REF!)</definedName>
    <definedName name="GráficoPRZ.02_Rótulos">INDIRECT(#REF!)</definedName>
    <definedName name="GráficoPRZ.02_Rótulos_GSTI">INDIRECT(#REF!)</definedName>
    <definedName name="GráficoPRZ.02_Tendência">INDIRECT(#REF!)</definedName>
    <definedName name="GráficoPRZ.02_Tendência_GSTI">INDIRECT(#REF!)</definedName>
    <definedName name="Graficos" hidden="1">{#N/A,#N/A,FALSE,"ORÇADOxREAL %M.P.";#N/A,#N/A,FALSE,"ORÇADOxREAL";#N/A,#N/A,FALSE,"Receb. Clientes";#N/A,#N/A,FALSE,"Pgto Fornecedores";#N/A,#N/A,FALSE,"% M.P.";#N/A,#N/A,FALSE,"Faturamento M²";#N/A,#N/A,FALSE,"IC"}</definedName>
    <definedName name="H" hidden="1">{"'Total'!$A$1","'Total'!$A$3"}</definedName>
    <definedName name="HExtras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hgjfyjtymty" hidden="1">{"'RR'!$A$2:$E$81"}</definedName>
    <definedName name="hgkyuygkhj" hidden="1">{"'RR'!$A$2:$E$81"}</definedName>
    <definedName name="hh" hidden="1">{#N/A,#N/A,FALSE,"Aging Summary";#N/A,#N/A,FALSE,"Ratio Analysis";#N/A,#N/A,FALSE,"Test 120 Day Accts";#N/A,#N/A,FALSE,"Tickmarks"}</definedName>
    <definedName name="hhh" hidden="1">{#N/A,#N/A,FALSE,"Tabl. D1";#N/A,#N/A,FALSE,"Tabl. D1 b";#N/A,#N/A,FALSE,"Tabl. D2";#N/A,#N/A,FALSE,"Tabl. D2 b";#N/A,#N/A,FALSE,"Tabl. D3";#N/A,#N/A,FALSE,"Tabl. D4";#N/A,#N/A,FALSE,"Tabl. D5"}</definedName>
    <definedName name="hjdh" hidden="1">{"MATRIZES",#N/A,FALSE,"Obras"}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m" hidden="1">{"AVÓS",#N/A,FALSE,"Obras"}</definedName>
    <definedName name="HTML_CodePage" hidden="1">1252</definedName>
    <definedName name="HTML_Control" hidden="1">{"'RR'!$A$2:$E$81"}</definedName>
    <definedName name="HTML_Control2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hy" hidden="1">{"MULTIPLICAÇÃO",#N/A,FALSE,"Obras"}</definedName>
    <definedName name="ik" hidden="1">{"MULTIPLICAÇÃO",#N/A,FALSE,"Obras"}</definedName>
    <definedName name="Infraestrutura">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j" hidden="1">{"'Total'!$A$1","'Total'!$A$3"}</definedName>
    <definedName name="JD" hidden="1">{"'Total'!$A$1","'Total'!$A$3"}</definedName>
    <definedName name="jdk" hidden="1">{"'Total'!$A$1","'Total'!$A$3"}</definedName>
    <definedName name="jdklaSHDLKSHDLKA" hidden="1">{"MULTIPLICAÇÃO",#N/A,FALSE,"Obras"}</definedName>
    <definedName name="jg" hidden="1">{"MATRIZES",#N/A,FALSE,"Obras"}</definedName>
    <definedName name="jj" hidden="1">{"MULTIPLICAÇÃO",#N/A,FALSE,"Obras"}</definedName>
    <definedName name="jjj" hidden="1">{#N/A,#N/A,FALSE,"Tabl. D1";#N/A,#N/A,FALSE,"Tabl. D1 b";#N/A,#N/A,FALSE,"Tabl. D2";#N/A,#N/A,FALSE,"Tabl. D2 b";#N/A,#N/A,FALSE,"Tabl. D3";#N/A,#N/A,FALSE,"Tabl. D4";#N/A,#N/A,FALSE,"Tabl. D5"}</definedName>
    <definedName name="jjk" hidden="1">{"'Total'!$A$1","'Total'!$A$3"}</definedName>
    <definedName name="JOAO" hidden="1">{"AVÓS",#N/A,FALSE,"Obras"}</definedName>
    <definedName name="k" hidden="1">{"MULTIPLICAÇÃO",#N/A,FALSE,"Obras"}</definedName>
    <definedName name="ka" hidden="1">{"MATRIZES",#N/A,FALSE,"Obras"}</definedName>
    <definedName name="KGIRO1" hidden="1">{#N/A,#N/A,FALSE,"Tabl. D1";#N/A,#N/A,FALSE,"Tabl. D1 b";#N/A,#N/A,FALSE,"Tabl. D2";#N/A,#N/A,FALSE,"Tabl. D2 b";#N/A,#N/A,FALSE,"Tabl. D3";#N/A,#N/A,FALSE,"Tabl. D4";#N/A,#N/A,FALSE,"Tabl. D5"}</definedName>
    <definedName name="khjkhjk" hidden="1">{"'RR'!$A$2:$E$81"}</definedName>
    <definedName name="kjhkghk" hidden="1">{"'RR'!$A$2:$E$81"}</definedName>
    <definedName name="kjkhjk" hidden="1">{"'RR'!$A$2:$E$81"}</definedName>
    <definedName name="kjkjkjkj" hidden="1">{#N/A,#N/A,FALSE,"Tabl. FB300";#N/A,#N/A,FALSE,"Tabl. FB350";#N/A,#N/A,FALSE,"Tabl. FB400";#N/A,#N/A,FALSE,"Tabl. FB500";#N/A,#N/A,FALSE,"Tabl. FS090"}</definedName>
    <definedName name="kkk" hidden="1">{#N/A,#N/A,FALSE,"Tabl. G1";#N/A,#N/A,FALSE,"Tabl. G2"}</definedName>
    <definedName name="klçl" localSheetId="1" hidden="1">[4]REAC1!#REF!</definedName>
    <definedName name="klçl" localSheetId="0" hidden="1">[4]REAC1!#REF!</definedName>
    <definedName name="klçl" hidden="1">[4]REAC1!#REF!</definedName>
    <definedName name="KSLAL" hidden="1">{"MELHORAMENTO GENÉTICO",#N/A,FALSE,"Obras"}</definedName>
    <definedName name="lajfçldj" hidden="1">{"'RR'!$A$2:$E$81"}</definedName>
    <definedName name="lajfçlja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ala" hidden="1">{"'RR'!$A$2:$E$81"}</definedName>
    <definedName name="lanfçlasjd" hidden="1">{"'RR'!$A$2:$E$81"}</definedName>
    <definedName name="Laudo" hidden="1">{"APOIO",#N/A,FALSE,"Obras"}</definedName>
    <definedName name="Lista_AnalistaProjeto">INDIRECT([9]Listas!$CZ$5)</definedName>
    <definedName name="Lista_Aprovação_SM">INDIRECT(#REF!)</definedName>
    <definedName name="Lista_Área_Atuação_Gerencial">INDIRECT(#REF!)</definedName>
    <definedName name="Lista_Area_Projeto">INDIRECT([9]Listas!$CC$5)</definedName>
    <definedName name="Lista_Área_Risco">INDIRECT(#REF!)</definedName>
    <definedName name="Lista_Atualização_Cronograma">INDIRECT(#REF!)</definedName>
    <definedName name="Lista_Atualização_Orçamento">INDIRECT(#REF!)</definedName>
    <definedName name="Lista_Avaliação_Comunicação">INDIRECT([9]Listas!$BB$5)</definedName>
    <definedName name="Lista_Avaliação_Custos1">INDIRECT(#REF!)</definedName>
    <definedName name="Lista_Avaliação_Custos2">INDIRECT([9]Listas!$BN$5)</definedName>
    <definedName name="Lista_Avaliação_Escopo">INDIRECT([9]Listas!$AX$5)</definedName>
    <definedName name="Lista_Avaliação_Integração1">INDIRECT([9]Listas!$BD$5)</definedName>
    <definedName name="Lista_Avaliação_Integração2">INDIRECT([9]Listas!$BF$5)</definedName>
    <definedName name="Lista_Avaliação_Meta_Negócio">INDIRECT([10]Listas!$BE$5)</definedName>
    <definedName name="Lista_Avaliação_Recursos">INDIRECT([9]Listas!$BJ$5)</definedName>
    <definedName name="Lista_Avaliação_Riscos">INDIRECT([9]Listas!$BH$5)</definedName>
    <definedName name="Lista_Avaliação_Tempo">INDIRECT([9]Listas!$AZ$5)</definedName>
    <definedName name="Lista_Cancelar_Efetiva">INDIRECT([9]Listas!$AF$5)</definedName>
    <definedName name="Lista_Categoria_Projeto">INDIRECT(#REF!)</definedName>
    <definedName name="LIsta_Categoria_Projeto2">INDIRECT([9]Listas!#REF!)</definedName>
    <definedName name="Lista_CodIndicadores">'[10]P-Mapa_Indicadores'!$B$5:$B$8</definedName>
    <definedName name="Lista_Criticidade_Pendência">INDIRECT(#REF!)</definedName>
    <definedName name="Lista_Diretoria_Projeto">INDIRECT([9]Listas!$CE$5)</definedName>
    <definedName name="Lista_Disciplina">INDIRECT(#REF!)</definedName>
    <definedName name="Lista_Efetiva">INDIRECT([9]Listas!$AH$5)</definedName>
    <definedName name="Lista_Elaboração_RDM">INDIRECT(#REF!)</definedName>
    <definedName name="Lista_EntregasCronograma">INDIRECT([9]BancoDados_MSProject!$C$7)</definedName>
    <definedName name="Lista_Estratégia_Risco">INDIRECT(#REF!)</definedName>
    <definedName name="Lista_Fase_Projeto">#REF!</definedName>
    <definedName name="Lista_Impacto" hidden="1">[11]BancoDados!$Q$11:$Q$13</definedName>
    <definedName name="Lista_Impacto_Qualidade">INDIRECT(#REF!)</definedName>
    <definedName name="Lista_Indicadores">'[10]P-Mapa_Indicadores'!$F$5:$F$8</definedName>
    <definedName name="Lista_Mapa_Causas">INDIRECT(#REF!)</definedName>
    <definedName name="Lista_Maturidade_Orçamento">INDIRECT(#REF!)</definedName>
    <definedName name="Lista_Mes">INDIRECT([9]Listas!$CV$5)</definedName>
    <definedName name="Lista_Monitoramento_Pendências">INDIRECT(#REF!)</definedName>
    <definedName name="Lista_Monitoramento_Riscos">INDIRECT(#REF!)</definedName>
    <definedName name="Lista_NomesGuiasImportação">INDIRECT([8]PED.01!$D$19)</definedName>
    <definedName name="Lista_Papéis_Responsabilidades">INDIRECT('[8]P-MatrizResponsabilidades'!$C$4)</definedName>
    <definedName name="Lista_Períodos_GPE">INDIRECT(#REF!)</definedName>
    <definedName name="Lista_Premissa_Restrição">INDIRECT([9]Listas!$CG$5)</definedName>
    <definedName name="Lista_Probabilidade" hidden="1">[11]BancoDados!$P$11:$P$13</definedName>
    <definedName name="Lista_Realização_Acompanhamento">INDIRECT(#REF!)</definedName>
    <definedName name="Lista_Status_Ações">INDIRECT(#REF!)</definedName>
    <definedName name="Lista_Status_Atividade">INDIRECT([9]Listas!$CJ$5)</definedName>
    <definedName name="Lista_Status_Planejamento">INDIRECT(#REF!)</definedName>
    <definedName name="Lista_Status_Projeto">INDIRECT(#REF!)</definedName>
    <definedName name="Lista_Tipo_Ação">INDIRECT(#REF!)</definedName>
    <definedName name="Lista_Unidade">INDIRECT(#REF!)</definedName>
    <definedName name="ljafçdj" hidden="1">{"'RR'!$A$2:$E$81"}</definedName>
    <definedName name="ljçaçfljdsf" hidden="1">{"'RR'!$A$2:$E$81"}</definedName>
    <definedName name="LLL" hidden="1">{#N/A,#N/A,FALSE,"Tabl. H1";#N/A,#N/A,FALSE,"Tabl. H2"}</definedName>
    <definedName name="ma" hidden="1">{"MATRIZES",#N/A,FALSE,"Obras"}</definedName>
    <definedName name="Macedo" hidden="1">{"AVÓS",#N/A,FALSE,"Obras"}</definedName>
    <definedName name="MacroEtapas">OFFSET([12]Plano_Projeto!$C$53,0,0,MATCH("ENTREGAS E CRITÉRIOS DE ACEITAÇÃO",[12]Plano_Projeto!$B$53:$B$434,0)-2,1)</definedName>
    <definedName name="Manutenção" hidden="1">{#N/A,#N/A,FALSE,"CONSOL. 5";#N/A,#N/A,FALSE,"CONSOL. ACUM. 6";#N/A,#N/A,FALSE,"CAP. EMPREG. 7";#N/A,#N/A,FALSE,"ORIGENS E APLICAÇÕES 9"}</definedName>
    <definedName name="márcio" hidden="1">{"'Total'!$A$1","'Total'!$A$3"}</definedName>
    <definedName name="Matrizes" hidden="1">{"MATRIZES",#N/A,FALSE,"Obras"}</definedName>
    <definedName name="medi_2005" hidden="1">{#N/A,#N/A,FALSE,"Tabl. G1";#N/A,#N/A,FALSE,"Tabl. G2"}</definedName>
    <definedName name="mh" hidden="1">{"MULTIPLICAÇÃO",#N/A,FALSE,"Obras"}</definedName>
    <definedName name="MID" hidden="1">{"MULTIPLICAÇÃO",#N/A,FALSE,"Obras"}</definedName>
    <definedName name="mj" hidden="1">{"MELHORAMENTO GENÉTICO",#N/A,FALSE,"Obras"}</definedName>
    <definedName name="mmm" hidden="1">{#N/A,#N/A,FALSE,"Tabl. A1";#N/A,#N/A,FALSE,"Tabl. A1 b";#N/A,#N/A,FALSE,"Tabl. A2";#N/A,#N/A,FALSE,"Tabl. A2-1";#N/A,#N/A,FALSE,"Tabl. A2-2"}</definedName>
    <definedName name="motor" hidden="1">{"MULTIPLICAÇÃO",#N/A,FALSE,"Obras"}</definedName>
    <definedName name="MO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mrn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n" hidden="1">{0,0,0,0;0,0,0,TRUE;0,0,0,0;0,0,0,0;0,0,0,0}</definedName>
    <definedName name="nn" hidden="1">{#N/A,#N/A,FALSE,"Sheet1"}</definedName>
    <definedName name="nnn" hidden="1">{#N/A,#N/A,FALSE,"Tabl. FB300";#N/A,#N/A,FALSE,"Tabl. FB350";#N/A,#N/A,FALSE,"Tabl. FB400";#N/A,#N/A,FALSE,"Tabl. FB500";#N/A,#N/A,FALSE,"Tabl. FS090"}</definedName>
    <definedName name="Nov_Dec_2003_MRF" hidden="1">{#N/A,#N/A,FALSE,"Sheet1"}</definedName>
    <definedName name="nova" hidden="1">{#N/A,#N/A,FALSE,"Tabl. D1";#N/A,#N/A,FALSE,"Tabl. D1 b";#N/A,#N/A,FALSE,"Tabl. D2";#N/A,#N/A,FALSE,"Tabl. D2 b";#N/A,#N/A,FALSE,"Tabl. D3";#N/A,#N/A,FALSE,"Tabl. D4";#N/A,#N/A,FALSE,"Tabl. D5"}</definedName>
    <definedName name="Nova_Lista_Area">OFFSET([9]Listas!$DH$5,0,0,COUNTIF([9]!areas[Lista],"?*"),1)</definedName>
    <definedName name="Novo" hidden="1">{"APOIO",#N/A,FALSE,"Obras"}</definedName>
    <definedName name="nt" hidden="1">{"MELHORAMENTO GENÉTICO",#N/A,FALSE,"Obras"}</definedName>
    <definedName name="nu" hidden="1">{"AVÓS",#N/A,FALSE,"Obras"}</definedName>
    <definedName name="numero_semanas" hidden="1">[13]Programacao_Detalhada!$AH$2:$GK$2</definedName>
    <definedName name="OBRA" hidden="1">{"MULTIPLICAÇÃO",#N/A,FALSE,"Obras"}</definedName>
    <definedName name="obras" hidden="1">{"MULTIPLICAÇÃO",#N/A,FALSE,"Obras"}</definedName>
    <definedName name="OBRAS_FAB_RAC" hidden="1">{"MULTIPLICAÇÃO",#N/A,FALSE,"Obras"}</definedName>
    <definedName name="OBRAS_FAB_RAC_UDIA" hidden="1">{"MULTIPLICAÇÃO",#N/A,FALSE,"Obras"}</definedName>
    <definedName name="p" localSheetId="1" hidden="1">#REF!</definedName>
    <definedName name="p" localSheetId="0" hidden="1">#REF!</definedName>
    <definedName name="p" hidden="1">#REF!</definedName>
    <definedName name="Página5" hidden="1">{#N/A,#N/A,FALSE,"O&amp;I Worksheet"}</definedName>
    <definedName name="Pasta" hidden="1">{#N/A,#N/A,FALSE,"CONSOL. 5";#N/A,#N/A,FALSE,"CONSOL. ACUM. 6";#N/A,#N/A,FALSE,"CAP. EMPREG. 7";#N/A,#N/A,FALSE,"ORIGENS E APLICAÇÕES 9"}</definedName>
    <definedName name="pd." hidden="1">{"MULTIPLICAÇÃO",#N/A,FALSE,"Obras"}</definedName>
    <definedName name="pd.." hidden="1">{"MATRIZES",#N/A,FALSE,"Obras"}</definedName>
    <definedName name="pd..." hidden="1">{"MULTIPLICAÇÃO",#N/A,FALSE,"Obras"}</definedName>
    <definedName name="Pdca" hidden="1">{"MULTIPLICAÇÃO",#N/A,FALSE,"Obras"}</definedName>
    <definedName name="Pdca." hidden="1">{"MULTIPLICAÇÃO",#N/A,FALSE,"Obras"}</definedName>
    <definedName name="Pdca.." hidden="1">{"APOIO",#N/A,FALSE,"Obras"}</definedName>
    <definedName name="pdca...." hidden="1">{"MULTIPLICAÇÃO",#N/A,FALSE,"Obras"}</definedName>
    <definedName name="PDCA1" hidden="1">{"MATRIZES",#N/A,FALSE,"Obras"}</definedName>
    <definedName name="PLAN" localSheetId="1" hidden="1">#REF!</definedName>
    <definedName name="PLAN" localSheetId="0" hidden="1">#REF!</definedName>
    <definedName name="PLAN" hidden="1">#REF!</definedName>
    <definedName name="Plante" hidden="1">{#N/A,#N/A,FALSE,"Tabl. G1";#N/A,#N/A,FALSE,"Tabl. G2"}</definedName>
    <definedName name="pluie" hidden="1">{#N/A,#N/A,FALSE,"Tabl. H1";#N/A,#N/A,FALSE,"Tabl. H2"}</definedName>
    <definedName name="pop" hidden="1">{#N/A,#N/A,FALSE,"Tabl. G1";#N/A,#N/A,FALSE,"Tabl. G2"}</definedName>
    <definedName name="ppp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pppp" hidden="1">{"'Total'!$A$1","'Total'!$A$3"}</definedName>
    <definedName name="PPPPP" hidden="1">{"AVÓS",#N/A,FALSE,"Obras"}</definedName>
    <definedName name="Priorização" hidden="1">{"'RR'!$A$2:$E$81"}</definedName>
    <definedName name="Proj" hidden="1">{"MATRIZES",#N/A,FALSE,"Obras"}</definedName>
    <definedName name="prop" localSheetId="1" hidden="1">'[14]RESUMO DO DBASE PARA O VIVEIRO'!#REF!</definedName>
    <definedName name="prop" localSheetId="0" hidden="1">'[14]RESUMO DO DBASE PARA O VIVEIRO'!#REF!</definedName>
    <definedName name="prop" hidden="1">'[14]RESUMO DO DBASE PARA O VIVEIRO'!#REF!</definedName>
    <definedName name="q" hidden="1">{#N/A,#N/A,FALSE,"SGP";#N/A,#N/A,FALSE,"SGI";#N/A,#N/A,FALSE,"SGC";#N/A,#N/A,FALSE,"SGS";#N/A,#N/A,FALSE,"SGB"}</definedName>
    <definedName name="QQ" hidden="1">{"AVÓS",#N/A,FALSE,"Obras"}</definedName>
    <definedName name="qqq" hidden="1">{#N/A,#N/A,FALSE,"Tabl. D1";#N/A,#N/A,FALSE,"Tabl. D1 b";#N/A,#N/A,FALSE,"Tabl. D2";#N/A,#N/A,FALSE,"Tabl. D2 b";#N/A,#N/A,FALSE,"Tabl. D3";#N/A,#N/A,FALSE,"Tabl. D4";#N/A,#N/A,FALSE,"Tabl. D5"}</definedName>
    <definedName name="QQQQQQQQQQQQQQQQQQQQQQQQQQQQQQQQQQQQQQQQQQQQ" hidden="1">{"MELHORAMENTO GENÉTICO",#N/A,FALSE,"Obras"}</definedName>
    <definedName name="QUADR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QW" hidden="1">{#N/A,#N/A,TRUE,"K2 e MEIA";#N/A,#N/A,TRUE,"K3";#N/A,#N/A,TRUE,"K4";#N/A,#N/A,TRUE,"PERFIL U";#N/A,#N/A,TRUE,"BCHA"}</definedName>
    <definedName name="QWERWE" localSheetId="1" hidden="1">[4]REAC1!#REF!</definedName>
    <definedName name="QWERWE" localSheetId="0" hidden="1">[4]REAC1!#REF!</definedName>
    <definedName name="QWERWE" hidden="1">[4]REAC1!#REF!</definedName>
    <definedName name="Raimundo" hidden="1">{"APOIO",#N/A,FALSE,"Obras"}</definedName>
    <definedName name="ray" localSheetId="1" hidden="1">#REF!</definedName>
    <definedName name="ray" localSheetId="0" hidden="1">#REF!</definedName>
    <definedName name="ray" hidden="1">#REF!</definedName>
    <definedName name="re" hidden="1">{"MULTIPLICAÇÃO",#N/A,FALSE,"Obras"}</definedName>
    <definedName name="read" hidden="1">{"celkový rozpočet - detail",#N/A,FALSE,"Aktualizace č. 1"}</definedName>
    <definedName name="rebocco" hidden="1">{"AVÓS",#N/A,FALSE,"Obras"}</definedName>
    <definedName name="Receita_fin" hidden="1">{"'RR'!$A$2:$E$81"}</definedName>
    <definedName name="Receita_fin1" hidden="1">{"'RR'!$A$2:$E$81"}</definedName>
    <definedName name="resum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RGGDSFG" hidden="1">{#N/A,#N/A,FALSE,"Tabl. FB300";#N/A,#N/A,FALSE,"Tabl. FB350";#N/A,#N/A,FALSE,"Tabl. FB400";#N/A,#N/A,FALSE,"Tabl. FB500";#N/A,#N/A,FALSE,"Tabl. FS090"}</definedName>
    <definedName name="ric" hidden="1">{#N/A,#N/A,FALSE,"Tabl. D1";#N/A,#N/A,FALSE,"Tabl. D1 b";#N/A,#N/A,FALSE,"Tabl. D2";#N/A,#N/A,FALSE,"Tabl. D2 b";#N/A,#N/A,FALSE,"Tabl. D3";#N/A,#N/A,FALSE,"Tabl. D4";#N/A,#N/A,FALSE,"Tabl. D5"}</definedName>
    <definedName name="rica" hidden="1">{#N/A,#N/A,FALSE,"Tabl. D1";#N/A,#N/A,FALSE,"Tabl. D1 b";#N/A,#N/A,FALSE,"Tabl. D2";#N/A,#N/A,FALSE,"Tabl. D2 b";#N/A,#N/A,FALSE,"Tabl. D3";#N/A,#N/A,FALSE,"Tabl. D4";#N/A,#N/A,FALSE,"Tabl. D5"}</definedName>
    <definedName name="ricar" hidden="1">{#N/A,#N/A,FALSE,"Tabl. G1";#N/A,#N/A,FALSE,"Tabl. G2"}</definedName>
    <definedName name="ROPCORP17" hidden="1">{"MATRIZES",#N/A,FALSE,"Obras"}</definedName>
    <definedName name="rr" hidden="1">{"AVÓS",#N/A,FALSE,"Obras"}</definedName>
    <definedName name="rrr" hidden="1">{#N/A,#N/A,FALSE,"Tabl. FB300";#N/A,#N/A,FALSE,"Tabl. FB350";#N/A,#N/A,FALSE,"Tabl. FB400";#N/A,#N/A,FALSE,"Tabl. FB500";#N/A,#N/A,FALSE,"Tabl. FS090"}</definedName>
    <definedName name="rt" hidden="1">{"APOIO",#N/A,FALSE,"Obras"}</definedName>
    <definedName name="rtdutu" hidden="1">{"'RR'!$A$2:$E$81"}</definedName>
    <definedName name="rtyu" hidden="1">{"'Total'!$A$1","'Total'!$A$3"}</definedName>
    <definedName name="S" localSheetId="1" hidden="1">[4]REAC1!#REF!</definedName>
    <definedName name="S" localSheetId="0" hidden="1">[4]REAC1!#REF!</definedName>
    <definedName name="S" hidden="1">[4]REAC1!#REF!</definedName>
    <definedName name="SADFSDF" hidden="1">{#N/A,#N/A,FALSE,"Tabl. FB300";#N/A,#N/A,FALSE,"Tabl. FB350";#N/A,#N/A,FALSE,"Tabl. FB400";#N/A,#N/A,FALSE,"Tabl. FB500";#N/A,#N/A,FALSE,"Tabl. FS090"}</definedName>
    <definedName name="sadsr" hidden="1">{"AVÓS",#N/A,FALSE,"Obras"}</definedName>
    <definedName name="SAFASDDF" hidden="1">{#N/A,#N/A,FALSE,"Tabl. FB300";#N/A,#N/A,FALSE,"Tabl. FB350";#N/A,#N/A,FALSE,"Tabl. FB400";#N/A,#N/A,FALSE,"Tabl. FB500";#N/A,#N/A,FALSE,"Tabl. FS090"}</definedName>
    <definedName name="SAFSAD" hidden="1">{#N/A,#N/A,FALSE,"Tabl. D1";#N/A,#N/A,FALSE,"Tabl. D1 b";#N/A,#N/A,FALSE,"Tabl. D2";#N/A,#N/A,FALSE,"Tabl. D2 b";#N/A,#N/A,FALSE,"Tabl. D3";#N/A,#N/A,FALSE,"Tabl. D4";#N/A,#N/A,FALSE,"Tabl. D5"}</definedName>
    <definedName name="SAGSAD" hidden="1">{#N/A,#N/A,FALSE,"Tabl. G1";#N/A,#N/A,FALSE,"Tabl. G2"}</definedName>
    <definedName name="SAPBEXrevision" hidden="1">19</definedName>
    <definedName name="SAPBEXsysID" hidden="1">"BWP"</definedName>
    <definedName name="SAPBEXwbID" hidden="1">"07QM73PI84UL6KXIIWQMBHZCH"</definedName>
    <definedName name="sasasasa" hidden="1">{#N/A,#N/A,FALSE,"Tabl. FB300";#N/A,#N/A,FALSE,"Tabl. FB350";#N/A,#N/A,FALSE,"Tabl. FB400";#N/A,#N/A,FALSE,"Tabl. FB500";#N/A,#N/A,FALSE,"Tabl. FS090"}</definedName>
    <definedName name="sasd" hidden="1">{"'Total'!$A$1","'Total'!$A$3"}</definedName>
    <definedName name="SD" hidden="1">{#N/A,#N/A,FALSE,"COBERTURAS 30";#N/A,#N/A,FALSE,"COBERTURAS Mês e Acum 31";#N/A,#N/A,FALSE,"COBERTURAS Acum 32"}</definedName>
    <definedName name="sda" hidden="1">{#N/A,#N/A,FALSE,"Aging Summary";#N/A,#N/A,FALSE,"Ratio Analysis";#N/A,#N/A,FALSE,"Test 120 Day Accts";#N/A,#N/A,FALSE,"Tickmarks"}</definedName>
    <definedName name="SDDFSDFASD" hidden="1">{#N/A,#N/A,FALSE,"Tabl. D1";#N/A,#N/A,FALSE,"Tabl. D1 b";#N/A,#N/A,FALSE,"Tabl. D2";#N/A,#N/A,FALSE,"Tabl. D2 b";#N/A,#N/A,FALSE,"Tabl. D3";#N/A,#N/A,FALSE,"Tabl. D4";#N/A,#N/A,FALSE,"Tabl. D5"}</definedName>
    <definedName name="sdfg" hidden="1">{"'Total'!$A$1","'Total'!$A$3"}</definedName>
    <definedName name="SDFGASDG" hidden="1">{#N/A,#N/A,FALSE,"Tabl. FB300";#N/A,#N/A,FALSE,"Tabl. FB350";#N/A,#N/A,FALSE,"Tabl. FB400";#N/A,#N/A,FALSE,"Tabl. FB500";#N/A,#N/A,FALSE,"Tabl. FS090"}</definedName>
    <definedName name="SDFSADF" hidden="1">{#N/A,#N/A,FALSE,"Tabl. FB300";#N/A,#N/A,FALSE,"Tabl. FB350";#N/A,#N/A,FALSE,"Tabl. FB400";#N/A,#N/A,FALSE,"Tabl. FB500";#N/A,#N/A,FALSE,"Tabl. FS090"}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igma" hidden="1">{"'Total'!$A$1","'Total'!$A$3"}</definedName>
    <definedName name="Sistemas">#REF!</definedName>
    <definedName name="Sistemas_Tecnologia">#REF!</definedName>
    <definedName name="Smlouvy" hidden="1">{"celkový rozpočet - detail",#N/A,FALSE,"Aktualizace č. 1"}</definedName>
    <definedName name="SMLOUVY1" hidden="1">{"celkový rozpočet - detail",#N/A,FALSE,"Aktualizace č. 1"}</definedName>
    <definedName name="solicitação_mudanca" hidden="1">{"'RR'!$A$2:$E$81"}</definedName>
    <definedName name="solicitacao_mudanca2" hidden="1">{"'RR'!$A$2:$E$81"}</definedName>
    <definedName name="solicitacao_mudanca3" hidden="1">{"'RR'!$A$2:$E$81"}</definedName>
    <definedName name="solicitacao_mudanca4" hidden="1">{"'RR'!$A$2:$E$81"}</definedName>
    <definedName name="solicitacao_mudanca5" hidden="1">{"'RR'!$A$2:$E$81"}</definedName>
    <definedName name="ss" hidden="1">{"'RR'!$A$2:$E$81"}</definedName>
    <definedName name="SSD" hidden="1">{#N/A,#N/A,FALSE,"CONSOL. 5";#N/A,#N/A,FALSE,"CONSOL. ACUM. 6";#N/A,#N/A,FALSE,"CAP. EMPREG. 7";#N/A,#N/A,FALSE,"ORIGENS E APLICAÇÕES 9"}</definedName>
    <definedName name="sssss" localSheetId="1" hidden="1">[15]COMPPROD!#REF!</definedName>
    <definedName name="sssss" localSheetId="0" hidden="1">[15]COMPPROD!#REF!</definedName>
    <definedName name="sssss" hidden="1">[15]COMPPROD!#REF!</definedName>
    <definedName name="status">'[16]Apoio - Pesos'!$B$5:$B$6</definedName>
    <definedName name="sumario" hidden="1">{#N/A,#N/A,FALSE,"SGP";#N/A,#N/A,FALSE,"SGI";#N/A,#N/A,FALSE,"SGC";#N/A,#N/A,FALSE,"SGS";#N/A,#N/A,FALSE,"SGB"}</definedName>
    <definedName name="Sumário" hidden="1">{#N/A,#N/A,FALSE,"SGP";#N/A,#N/A,FALSE,"SGI";#N/A,#N/A,FALSE,"SGC";#N/A,#N/A,FALSE,"SGS";#N/A,#N/A,FALSE,"SGB"}</definedName>
    <definedName name="t" hidden="1">" Plan1!$G$3:$AT$3"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" hidden="1">{"MELHORAMENTO GENÉTICO",#N/A,FALSE,"Obras"}</definedName>
    <definedName name="Tecnologia">#REF!</definedName>
    <definedName name="Tecnologia_Industrial">#REF!</definedName>
    <definedName name="teds" hidden="1">{"'RR'!$A$2:$E$81"}</definedName>
    <definedName name="test" hidden="1">{#N/A,#N/A,FALSE,"Aging Summary";#N/A,#N/A,FALSE,"Ratio Analysis";#N/A,#N/A,FALSE,"Test 120 Day Accts";#N/A,#N/A,FALSE,"Tickmarks"}</definedName>
    <definedName name="TESTE" hidden="1">{#N/A,#N/A,FALSE,"O&amp;I Worksheet"}</definedName>
    <definedName name="TextRefCopyRangeCount" hidden="1">7</definedName>
    <definedName name="tmytmyt" hidden="1">{"'RR'!$A$2:$E$81"}</definedName>
    <definedName name="tr" hidden="1">{#N/A,#N/A,FALSE,"Aging Summary";#N/A,#N/A,FALSE,"Ratio Analysis";#N/A,#N/A,FALSE,"Test 120 Day Accts";#N/A,#N/A,FALSE,"Tickmarks"}</definedName>
    <definedName name="Tratorito" hidden="1">{"MATRIZES",#N/A,FALSE,"Obras"}</definedName>
    <definedName name="tratoritos" hidden="1">{"AVÓS",#N/A,FALSE,"Obras"}</definedName>
    <definedName name="tttttt" hidden="1">{#N/A,#N/A,FALSE,"Tabl. G1";#N/A,#N/A,FALSE,"Tabl. G2"}</definedName>
    <definedName name="tyyjym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yymy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jyuiyu" hidden="1">{"'RR'!$A$2:$E$81"}</definedName>
    <definedName name="ULMA" hidden="1">{"MULTIPLICAÇÃO",#N/A,FALSE,"Obras"}</definedName>
    <definedName name="US" hidden="1">{"first",#N/A,FALSE,"FLEXPAC2";"second",#N/A,FALSE,"FLEXPAC2"}</definedName>
    <definedName name="ut" hidden="1">{"MATRIZES",#N/A,FALSE,"Obras"}</definedName>
    <definedName name="v" hidden="1">{"MATRIZES",#N/A,FALSE,"Obras"}</definedName>
    <definedName name="valderes" hidden="1">{"AVÓS",#N/A,FALSE,"Obras"}</definedName>
    <definedName name="valderez" hidden="1">{"MULTIPLICAÇÃO",#N/A,FALSE,"Obras"}</definedName>
    <definedName name="vale" hidden="1">{#N/A,#N/A,FALSE,"Tabl. FB300";#N/A,#N/A,FALSE,"Tabl. FB350";#N/A,#N/A,FALSE,"Tabl. FB400";#N/A,#N/A,FALSE,"Tabl. FB500";#N/A,#N/A,FALSE,"Tabl. FS090"}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entiladores" hidden="1">{"MULTIPLICAÇÃO",#N/A,FALSE,"Obras"}</definedName>
    <definedName name="vilto" hidden="1">{"MATRIZES",#N/A,FALSE,"Obras"}</definedName>
    <definedName name="vinicius" hidden="1">{"'Total'!$A$1","'Total'!$A$3"}</definedName>
    <definedName name="Visão_BH" localSheetId="1" hidden="1">#REF!</definedName>
    <definedName name="Visão_BH" localSheetId="0" hidden="1">#REF!</definedName>
    <definedName name="Visão_BH" hidden="1">#REF!</definedName>
    <definedName name="vvv" hidden="1">{#N/A,#N/A,FALSE,"Tabl. H1";#N/A,#N/A,FALSE,"Tabl. H2"}</definedName>
    <definedName name="w" hidden="1">{#N/A,#N/A,FALSE,"Aging Summary";#N/A,#N/A,FALSE,"Ratio Analysis";#N/A,#N/A,FALSE,"Test 120 Day Accts";#N/A,#N/A,FALSE,"Tickmarks"}</definedName>
    <definedName name="Waterfall">#REF!</definedName>
    <definedName name="wrn.1." hidden="1">{#N/A,#N/A,FALSE,"AOPESSOA2";#N/A,#N/A,FALSE,"AOPESSOA";#N/A,#N/A,FALSE,"AOPRODUC2";#N/A,#N/A,FALSE,"GRÁFICO3";#N/A,#N/A,FALSE,"AOCUSDIR12"}</definedName>
    <definedName name="wrn.14." hidden="1">{#N/A,#N/A,FALSE,"Desp.Indir";#N/A,#N/A,FALSE,"Estoq"}</definedName>
    <definedName name="wrn.AANBIEDING." hidden="1">{#N/A,#N/A,FALSE,"Besr Frek Graph";#N/A,#N/A,FALSE,"OMV Verslag Graf";#N/A,#N/A,FALSE,"Klagtes Graf";#N/A,#N/A,FALSE,"KV - Kostes Graf"}</definedName>
    <definedName name="wrn.Accretion." hidden="1">{"Accretion",#N/A,FALSE,"Assum"}</definedName>
    <definedName name="wrn.acmp." hidden="1">{#N/A,#N/A,FALSE,"SGP";#N/A,#N/A,FALSE,"SGI";#N/A,#N/A,FALSE,"SGC";#N/A,#N/A,FALSE,"SGS";#N/A,#N/A,FALSE,"SGB"}</definedName>
    <definedName name="wrn.ACOMP." hidden="1">{#N/A,#N/A,FALSE,"AOPOSEST";#N/A,#N/A,FALSE,"GRAFRB10";#N/A,#N/A,FALSE,"GRAFCOMP11 (2)";#N/A,#N/A,FALSE,"AOCUSDIR12";#N/A,#N/A,FALSE,"AODPINDI12";#N/A,#N/A,FALSE,"AOPESSOA13";#N/A,#N/A,FALSE,"ENDIV";#N/A,#N/A,FALSE,"AOVINTEC14";#N/A,#N/A,FALSE,"AOFLUXO18";#N/A,#N/A,FALSE,"BALPATRIM"}</definedName>
    <definedName name="wrn.Advanced._.Material." hidden="1">{#N/A,#N/A,FALSE,"CAPA";#N/A,#N/A,FALSE,"CONSOL. 2";#N/A,#N/A,FALSE,"CONSOL. 5";#N/A,#N/A,FALSE,"CONSOL. ACUM. 6";#N/A,#N/A,FALSE,"CAP. EMPREG. 7"}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POIO." hidden="1">{"APOIO",#N/A,FALSE,"Obras"}</definedName>
    <definedName name="wrn.Assumptions." hidden="1">{"Assumptions",#N/A,FALSE,"Assum"}</definedName>
    <definedName name="wrn.AVÓS." hidden="1">{"AVÓS",#N/A,FALSE,"Obras"}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OOK1.XLS." hidden="1">{#N/A,#N/A,FALSE,"Sheet1"}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G." hidden="1">{#N/A,#N/A,FALSE,"CAG"}</definedName>
    <definedName name="wrn.celkový._.tisk._.detail." hidden="1">{"celkový rozpočet - detail",#N/A,FALSE,"Aktualizace č. 1"}</definedName>
    <definedName name="wrn.Coberturas." hidden="1">{#N/A,#N/A,FALSE,"COBERTURAS 30";#N/A,#N/A,FALSE,"COBERTURAS Mês e Acum 31";#N/A,#N/A,FALSE,"COBERTURAS Acum 32"}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olidado." hidden="1">{#N/A,#N/A,FALSE,"CONSOL. 5";#N/A,#N/A,FALSE,"CONSOL. ACUM. 6";#N/A,#N/A,FALSE,"CAP. EMPREG. 7";#N/A,#N/A,FALSE,"ORIGENS E APLICAÇÕES 9"}</definedName>
    <definedName name="wrn.CPB." hidden="1">{#N/A,#N/A,FALSE,"CPB"}</definedName>
    <definedName name="wrn.Credit._.Summary." hidden="1">{#N/A,#N/A,FALSE,"Credit Summary"}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studo._.lamnv." hidden="1">{#N/A,#N/A,TRUE,"K2 e MEIA";#N/A,#N/A,TRUE,"K3";#N/A,#N/A,TRUE,"K4";#N/A,#N/A,TRUE,"PERFIL U";#N/A,#N/A,TRUE,"BCHA"}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CB." hidden="1">{"FCB_ALL",#N/A,FALSE,"FCB"}</definedName>
    <definedName name="wrn.fcb2" hidden="1">{"FCB_ALL",#N/A,FALSE,"FCB"}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GIS." hidden="1">{#N/A,#N/A,FALSE,"GIS"}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NZ." hidden="1">{#N/A,#N/A,FALSE,"HNZ"}</definedName>
    <definedName name="wrn.INVESTIMENTOS." hidden="1">{#N/A,#N/A,FALSE,"DIPRE";#N/A,#N/A,FALSE,"DIVIP";#N/A,#N/A,FALSE,"DIRAD";#N/A,#N/A,FALSE,"DIFIR";#N/A,#N/A,FALSE,"DIDEN";#N/A,#N/A,FALSE,"SGP";#N/A,#N/A,FALSE,"SGS";#N/A,#N/A,FALSE,"SGI";#N/A,#N/A,FALSE,"SGC";#N/A,#N/A,FALSE,"SGB"}</definedName>
    <definedName name="wrn.ITENS._.DE._.CONTROLES." hidden="1">{#N/A,#N/A,FALSE,"ORÇADOxREAL %M.P.";#N/A,#N/A,FALSE,"ORÇADOxREAL";#N/A,#N/A,FALSE,"Receb. Clientes";#N/A,#N/A,FALSE,"Pgto Fornecedores";#N/A,#N/A,FALSE,"% M.P.";#N/A,#N/A,FALSE,"Faturamento M²";#N/A,#N/A,FALSE,"IC"}</definedName>
    <definedName name="wrn.K." hidden="1">{#N/A,#N/A,FALSE,"K"}</definedName>
    <definedName name="wrn.MATRIZES." hidden="1">{"MATRIZES",#N/A,FALSE,"Obras"}</definedName>
    <definedName name="wrn.MCCRK." hidden="1">{#N/A,#N/A,FALSE,"MCCRK"}</definedName>
    <definedName name="wrn.Meggashop." hidden="1">{#N/A,#N/A,FALSE,"MEGGASHOP 36";#N/A,#N/A,FALSE,"MEGGASHOP Mês e Acum 37";#N/A,#N/A,FALSE,"MEGGASHOP Acum 38"}</definedName>
    <definedName name="wrn.MELHORAMENTO._.GENÉTICO." hidden="1">{"MELHORAMENTO GENÉTICO",#N/A,FALSE,"Obras"}</definedName>
    <definedName name="wrn.MENSAL." hidden="1">{#N/A,#N/A,FALSE,"CAPA";#N/A,#N/A,FALSE,"Pag. 01";#N/A,#N/A,FALSE,"Pag. 02";#N/A,#N/A,FALSE,"Pag. 03";#N/A,#N/A,FALSE,"Pag. 04";#N/A,#N/A,FALSE,"Pag. 05";#N/A,#N/A,FALSE,"Pag. 06";#N/A,#N/A,FALSE,"Pag. 07"}</definedName>
    <definedName name="wrn.Mizuno." hidden="1">{#N/A,#N/A,FALSE,"MIZUNO 21";#N/A,#N/A,FALSE,"Mizuno Mês e Acum 22";#N/A,#N/A,FALSE,"Mizuno Acum 23"}</definedName>
    <definedName name="wrn.MULTIPLICAÇÃO." hidden="1">{"MULTIPLICAÇÃO",#N/A,FALSE,"Obras"}</definedName>
    <definedName name="wrn.NA." hidden="1">{#N/A,#N/A,FALSE,"NA"}</definedName>
    <definedName name="wrn.new." hidden="1">{"new1",#N/A,FALSE,"FLEXPAC2";"new2",#N/A,FALSE,"FLEXPAC2"}</definedName>
    <definedName name="wrn.O._.and._.I._.Worksheet." hidden="1">{#N/A,#N/A,FALSE,"O&amp;I Worksheet"}</definedName>
    <definedName name="wrn.one." hidden="1">{"page1",#N/A,FALSE,"A";"page2",#N/A,FALSE,"A"}</definedName>
    <definedName name="wrn.Orçamento." hidden="1">{#N/A,#N/A,FALSE,"C.Direto";#N/A,#N/A,FALSE,"Evolução";#N/A,#N/A,FALSE,"C.Direto Prod";#N/A,#N/A,FALSE,"C.Indireto";#N/A,#N/A,FALSE,"Mobra";#N/A,#N/A,FALSE,"Orç.Inv.";#N/A,#N/A,FALSE,"Equiv. US$";#N/A,#N/A,FALSE,"NewFin";#N/A,#N/A,FALSE,"Ev.Receita";#N/A,#N/A,FALSE,"Ev.Venda"}</definedName>
    <definedName name="wrn.P.._.Orç.._.Módulo._.1." hidden="1">{#N/A,#N/A,FALSE,"Índice";#N/A,#N/A,FALSE,"Result.Ec.";#N/A,#N/A,FALSE,"Par.Conj. ";#N/A,#N/A,FALSE,"Prod.Fis";#N/A,#N/A,FALSE,"Est.Físico";#N/A,#N/A,FALSE,"Mix";#N/A,#N/A,FALSE,"P.Médio";#N/A,#N/A,FALSE,"Rec.Bruta";#N/A,#N/A,FALSE,"Vendas.4";#N/A,#N/A,FALSE,"C.Dir.Vend"}</definedName>
    <definedName name="wrn.P.Orç.._.Módulo._.2." hidden="1">{#N/A,#N/A,FALSE,"C.Direto";#N/A,#N/A,FALSE,"Evolução";#N/A,#N/A,FALSE,"C.Direto Prod";#N/A,#N/A,FALSE,"C.Indireto";#N/A,#N/A,FALSE,"Mobra";#N/A,#N/A,FALSE,"Orç.Inv.";#N/A,#N/A,FALSE,"Eq.Patrim";#N/A,#N/A,FALSE,"Equiv. US$";#N/A,#N/A,FALSE,"NewFin";#N/A,#N/A,FALSE,"Ev.Receita";#N/A,#N/A,FALSE,"Ev.Venda"}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p2." hidden="1">{#N/A,#N/A,FALSE,"C.Direto";#N/A,#N/A,FALSE,"Evolução";#N/A,#N/A,FALSE,"C.Indireto";#N/A,#N/A,FALSE,"Mobra";#N/A,#N/A,FALSE,"Equiv. US$";#N/A,#N/A,FALSE,"NewFin"}</definedName>
    <definedName name="wrn.Proposta._.2." hidden="1">{#N/A,#N/A,FALSE,"Evolução";#N/A,#N/A,FALSE,"C.Direto Prod";#N/A,#N/A,FALSE,"C.Indireto";#N/A,#N/A,FALSE,"Mobra";#N/A,#N/A,FALSE,"Orç.Inv.";#N/A,#N/A,FALSE,"Eq.Patrim"}</definedName>
    <definedName name="wrn.Radar._.Consolidado." hidden="1">{#N/A,#N/A,FALSE,"Radar CONS Mês e Acum  3";#N/A,#N/A,FALSE,"Radar CONS Acum 4"}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elatório._.Mensal.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wrn.REMO." hidden="1">{#N/A,#N/A,FALSE,"Desp.Indir";#N/A,#N/A,FALSE,"DPindir";#N/A,#N/A,FALSE,"D.Ind.Op";#N/A,#N/A,FALSE,"Estoq";#N/A,#N/A,FALSE,"Estoq Ger.";#N/A,#N/A,FALSE,"Estoq.R$";#N/A,#N/A,FALSE,"Receita";#N/A,#N/A,FALSE,"Vendas_Ton";#N/A,#N/A,FALSE,"P.Médio";#N/A,#N/A,FALSE,"PMDet";#N/A,#N/A,FALSE,"Inv_Barras"}</definedName>
    <definedName name="wrn.SPF." hidden="1">{"APOIO",#N/A,FALSE,"Obras"}</definedName>
    <definedName name="wrn.STAND_ALONE_BOTH." hidden="1">{"FCB_ALL",#N/A,FALSE,"FCB";"GREY_ALL",#N/A,FALSE,"GREY"}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mp." hidden="1">{#N/A,#N/A,FALSE,"AOESTOQ4";#N/A,#N/A,FALSE,"POSEST";#N/A,#N/A,FALSE,"CARBLIG";#N/A,#N/A,FALSE,"EV.PREÇO";#N/A,#N/A,FALSE,"AOQTDMIX7";#N/A,#N/A,FALSE,"AOPREÇO8";#N/A,#N/A,FALSE,"GRAFMIX9";#N/A,#N/A,FALSE,"GRAFRB10";#N/A,#N/A,FALSE,"GRAFCOMP11";#N/A,#N/A,FALSE,"AODPINDI12"}</definedName>
    <definedName name="wrn.TEMPO." hidden="1">{#N/A,#N/A,FALSE,"Par.Conj.";#N/A,#N/A,FALSE,"Prod.Fis";#N/A,#N/A,FALSE,"Est.Físico";#N/A,#N/A,FALSE,"Mix";#N/A,#N/A,FALSE,"P.Médio";#N/A,#N/A,FALSE,"Rec.Bruta"}</definedName>
    <definedName name="wrn.Timberland." hidden="1">{#N/A,#N/A,FALSE,"TIMBERLAND 33";#N/A,#N/A,FALSE,"TIMBERLAND Mês e Acum 34";#N/A,#N/A,FALSE,"TIMBERLAND Acum 35"}</definedName>
    <definedName name="wrn.Trading._.Summary." hidden="1">{#N/A,#N/A,FALSE,"Trading Summary"}</definedName>
    <definedName name="wrn.Usinor.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" hidden="1">{#N/A,#N/A,FALSE,"Tabl. FB300";#N/A,#N/A,FALSE,"Tabl. FB350";#N/A,#N/A,FALSE,"Tabl. FB400";#N/A,#N/A,FALSE,"Tabl. FB500";#N/A,#N/A,FALSE,"Tabl. FS090"}</definedName>
    <definedName name="wwwww" hidden="1">{#N/A,#N/A,FALSE,"Tabl. G1";#N/A,#N/A,FALSE,"Tabl. G2"}</definedName>
    <definedName name="x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XCFGB" hidden="1">{#N/A,#N/A,FALSE,"Tabl. G1";#N/A,#N/A,FALSE,"Tabl. G2"}</definedName>
    <definedName name="XDFFDFG" hidden="1">{#N/A,#N/A,FALSE,"Tabl. D1";#N/A,#N/A,FALSE,"Tabl. D1 b";#N/A,#N/A,FALSE,"Tabl. D2";#N/A,#N/A,FALSE,"Tabl. D2 b";#N/A,#N/A,FALSE,"Tabl. D3";#N/A,#N/A,FALSE,"Tabl. D4";#N/A,#N/A,FALSE,"Tabl. D5"}</definedName>
    <definedName name="xls" hidden="1">{"AVÓS",#N/A,FALSE,"Obras"}</definedName>
    <definedName name="xplan" localSheetId="1" hidden="1">#REF!</definedName>
    <definedName name="xplan" localSheetId="0" hidden="1">#REF!</definedName>
    <definedName name="xplan" hidden="1">#REF!</definedName>
    <definedName name="Xref" localSheetId="1" hidden="1">#REF!</definedName>
    <definedName name="Xref" localSheetId="0" hidden="1">#REF!</definedName>
    <definedName name="Xref" hidden="1">#REF!</definedName>
    <definedName name="XREF_COLUMN_1" localSheetId="1" hidden="1">[17]Ativo!#REF!</definedName>
    <definedName name="XREF_COLUMN_1" localSheetId="0" hidden="1">[17]Ativo!#REF!</definedName>
    <definedName name="XREF_COLUMN_1" hidden="1">[17]Ativo!#REF!</definedName>
    <definedName name="XREF_COLUMN_10" localSheetId="1" hidden="1">[17]Resultado!#REF!</definedName>
    <definedName name="XREF_COLUMN_10" localSheetId="0" hidden="1">[17]Resultado!#REF!</definedName>
    <definedName name="XREF_COLUMN_10" hidden="1">[17]Resultado!#REF!</definedName>
    <definedName name="XREF_COLUMN_11" localSheetId="1" hidden="1">[17]Passivo!#REF!</definedName>
    <definedName name="XREF_COLUMN_11" localSheetId="0" hidden="1">[17]Passivo!#REF!</definedName>
    <definedName name="XREF_COLUMN_11" hidden="1">[17]Passivo!#REF!</definedName>
    <definedName name="XREF_COLUMN_12" localSheetId="1" hidden="1">[17]Resultado!#REF!</definedName>
    <definedName name="XREF_COLUMN_12" localSheetId="0" hidden="1">[17]Resultado!#REF!</definedName>
    <definedName name="XREF_COLUMN_12" hidden="1">[17]Resultado!#REF!</definedName>
    <definedName name="XREF_COLUMN_13" localSheetId="1" hidden="1">[17]Ativo!#REF!</definedName>
    <definedName name="XREF_COLUMN_13" localSheetId="0" hidden="1">[17]Ativo!#REF!</definedName>
    <definedName name="XREF_COLUMN_13" hidden="1">[17]Ativo!#REF!</definedName>
    <definedName name="XREF_COLUMN_14" localSheetId="1" hidden="1">[17]Ativo!#REF!</definedName>
    <definedName name="XREF_COLUMN_14" localSheetId="0" hidden="1">[17]Ativo!#REF!</definedName>
    <definedName name="XREF_COLUMN_14" hidden="1">[17]Ativo!#REF!</definedName>
    <definedName name="XREF_COLUMN_15" localSheetId="1" hidden="1">#REF!</definedName>
    <definedName name="XREF_COLUMN_15" localSheetId="0" hidden="1">#REF!</definedName>
    <definedName name="XREF_COLUMN_15" hidden="1">#REF!</definedName>
    <definedName name="XREF_COLUMN_16" localSheetId="1" hidden="1">#REF!</definedName>
    <definedName name="XREF_COLUMN_16" localSheetId="0" hidden="1">#REF!</definedName>
    <definedName name="XREF_COLUMN_16" hidden="1">#REF!</definedName>
    <definedName name="XREF_COLUMN_17" localSheetId="1" hidden="1">[17]Ativo!#REF!</definedName>
    <definedName name="XREF_COLUMN_17" localSheetId="0" hidden="1">[17]Ativo!#REF!</definedName>
    <definedName name="XREF_COLUMN_17" hidden="1">[17]Ativo!#REF!</definedName>
    <definedName name="XREF_COLUMN_18" localSheetId="1" hidden="1">[17]Passivo!#REF!</definedName>
    <definedName name="XREF_COLUMN_18" localSheetId="0" hidden="1">[17]Passivo!#REF!</definedName>
    <definedName name="XREF_COLUMN_18" hidden="1">[17]Passivo!#REF!</definedName>
    <definedName name="XREF_COLUMN_19" localSheetId="1" hidden="1">[17]Passivo!#REF!</definedName>
    <definedName name="XREF_COLUMN_19" localSheetId="0" hidden="1">[17]Passivo!#REF!</definedName>
    <definedName name="XREF_COLUMN_19" hidden="1">[17]Passivo!#REF!</definedName>
    <definedName name="XREF_COLUMN_2" localSheetId="1" hidden="1">[17]Resultado!#REF!</definedName>
    <definedName name="XREF_COLUMN_2" localSheetId="0" hidden="1">[17]Resultado!#REF!</definedName>
    <definedName name="XREF_COLUMN_2" hidden="1">[17]Resultado!#REF!</definedName>
    <definedName name="XREF_COLUMN_20" localSheetId="1" hidden="1">[17]Passivo!#REF!</definedName>
    <definedName name="XREF_COLUMN_20" localSheetId="0" hidden="1">[17]Passivo!#REF!</definedName>
    <definedName name="XREF_COLUMN_20" hidden="1">[17]Passivo!#REF!</definedName>
    <definedName name="XREF_COLUMN_21" localSheetId="1" hidden="1">#REF!</definedName>
    <definedName name="XREF_COLUMN_21" localSheetId="0" hidden="1">#REF!</definedName>
    <definedName name="XREF_COLUMN_21" hidden="1">#REF!</definedName>
    <definedName name="XREF_COLUMN_22" localSheetId="1" hidden="1">[17]Resultado!#REF!</definedName>
    <definedName name="XREF_COLUMN_22" localSheetId="0" hidden="1">[17]Resultado!#REF!</definedName>
    <definedName name="XREF_COLUMN_22" hidden="1">[17]Resultado!#REF!</definedName>
    <definedName name="XREF_COLUMN_23" localSheetId="1" hidden="1">[17]Passivo!#REF!</definedName>
    <definedName name="XREF_COLUMN_23" localSheetId="0" hidden="1">[17]Passivo!#REF!</definedName>
    <definedName name="XREF_COLUMN_23" hidden="1">[17]Passivo!#REF!</definedName>
    <definedName name="XREF_COLUMN_24" localSheetId="1" hidden="1">[17]Passivo!#REF!</definedName>
    <definedName name="XREF_COLUMN_24" localSheetId="0" hidden="1">[17]Passivo!#REF!</definedName>
    <definedName name="XREF_COLUMN_24" hidden="1">[17]Passivo!#REF!</definedName>
    <definedName name="XREF_COLUMN_25" localSheetId="1" hidden="1">[17]Resultado!#REF!</definedName>
    <definedName name="XREF_COLUMN_25" localSheetId="0" hidden="1">[17]Resultado!#REF!</definedName>
    <definedName name="XREF_COLUMN_25" hidden="1">[17]Resultado!#REF!</definedName>
    <definedName name="XREF_COLUMN_26" localSheetId="1" hidden="1">#REF!</definedName>
    <definedName name="XREF_COLUMN_26" localSheetId="0" hidden="1">#REF!</definedName>
    <definedName name="XREF_COLUMN_26" hidden="1">#REF!</definedName>
    <definedName name="XREF_COLUMN_3" localSheetId="1" hidden="1">[17]Ativo!#REF!</definedName>
    <definedName name="XREF_COLUMN_3" localSheetId="0" hidden="1">[17]Ativo!#REF!</definedName>
    <definedName name="XREF_COLUMN_3" hidden="1">[17]Ativo!#REF!</definedName>
    <definedName name="XREF_COLUMN_4" localSheetId="1" hidden="1">[17]Passivo!#REF!</definedName>
    <definedName name="XREF_COLUMN_4" localSheetId="0" hidden="1">[17]Passivo!#REF!</definedName>
    <definedName name="XREF_COLUMN_4" hidden="1">[17]Passivo!#REF!</definedName>
    <definedName name="XREF_COLUMN_5" localSheetId="1" hidden="1">[17]Resultado!#REF!</definedName>
    <definedName name="XREF_COLUMN_5" localSheetId="0" hidden="1">[17]Resultado!#REF!</definedName>
    <definedName name="XREF_COLUMN_5" hidden="1">[17]Resultado!#REF!</definedName>
    <definedName name="XREF_COLUMN_6" localSheetId="1" hidden="1">[17]Ativo!#REF!</definedName>
    <definedName name="XREF_COLUMN_6" localSheetId="0" hidden="1">[17]Ativo!#REF!</definedName>
    <definedName name="XREF_COLUMN_6" hidden="1">[17]Ativo!#REF!</definedName>
    <definedName name="XREF_COLUMN_7" localSheetId="1" hidden="1">[17]Passivo!#REF!</definedName>
    <definedName name="XREF_COLUMN_7" localSheetId="0" hidden="1">[17]Passivo!#REF!</definedName>
    <definedName name="XREF_COLUMN_7" hidden="1">[17]Passivo!#REF!</definedName>
    <definedName name="XREF_COLUMN_8" localSheetId="1" hidden="1">[17]Resultado!#REF!</definedName>
    <definedName name="XREF_COLUMN_8" localSheetId="0" hidden="1">[17]Resultado!#REF!</definedName>
    <definedName name="XREF_COLUMN_8" hidden="1">[17]Resultado!#REF!</definedName>
    <definedName name="XREF_COLUMN_9" localSheetId="1" hidden="1">[17]Ativo!#REF!</definedName>
    <definedName name="XREF_COLUMN_9" localSheetId="0" hidden="1">[17]Ativo!#REF!</definedName>
    <definedName name="XREF_COLUMN_9" hidden="1">[17]Ativo!#REF!</definedName>
    <definedName name="XRefColumnsCount" hidden="1">16</definedName>
    <definedName name="XRefCopy1" localSheetId="1" hidden="1">[17]Ativo!#REF!</definedName>
    <definedName name="XRefCopy1" localSheetId="0" hidden="1">[17]Ativo!#REF!</definedName>
    <definedName name="XRefCopy1" hidden="1">[17]Ativo!#REF!</definedName>
    <definedName name="XRefCopy10Row" localSheetId="1" hidden="1">#REF!</definedName>
    <definedName name="XRefCopy10Row" localSheetId="0" hidden="1">#REF!</definedName>
    <definedName name="XRefCopy10Row" hidden="1">#REF!</definedName>
    <definedName name="XRefCopy11Row" localSheetId="1" hidden="1">#REF!</definedName>
    <definedName name="XRefCopy11Row" localSheetId="0" hidden="1">#REF!</definedName>
    <definedName name="XRefCopy11Row" hidden="1">#REF!</definedName>
    <definedName name="XRefCopy12Row" localSheetId="1" hidden="1">#REF!</definedName>
    <definedName name="XRefCopy12Row" localSheetId="0" hidden="1">#REF!</definedName>
    <definedName name="XRefCopy12Row" hidden="1">#REF!</definedName>
    <definedName name="XRefCopy13" localSheetId="1" hidden="1">[17]Resultado!#REF!</definedName>
    <definedName name="XRefCopy13" localSheetId="0" hidden="1">[17]Resultado!#REF!</definedName>
    <definedName name="XRefCopy13" hidden="1">[17]Resultado!#REF!</definedName>
    <definedName name="XRefCopy13Row" localSheetId="1" hidden="1">#REF!</definedName>
    <definedName name="XRefCopy13Row" localSheetId="0" hidden="1">#REF!</definedName>
    <definedName name="XRefCopy13Row" hidden="1">#REF!</definedName>
    <definedName name="XRefCopy14" localSheetId="1" hidden="1">[17]Resultado!#REF!</definedName>
    <definedName name="XRefCopy14" localSheetId="0" hidden="1">[17]Resultado!#REF!</definedName>
    <definedName name="XRefCopy14" hidden="1">[17]Resultado!#REF!</definedName>
    <definedName name="XRefCopy14Row" localSheetId="1" hidden="1">#REF!</definedName>
    <definedName name="XRefCopy14Row" localSheetId="0" hidden="1">#REF!</definedName>
    <definedName name="XRefCopy14Row" hidden="1">#REF!</definedName>
    <definedName name="XRefCopy15" localSheetId="1" hidden="1">[17]Ativo!#REF!</definedName>
    <definedName name="XRefCopy15" localSheetId="0" hidden="1">[17]Ativo!#REF!</definedName>
    <definedName name="XRefCopy15" hidden="1">[17]Ativo!#REF!</definedName>
    <definedName name="XRefCopy15Row" localSheetId="1" hidden="1">#REF!</definedName>
    <definedName name="XRefCopy15Row" localSheetId="0" hidden="1">#REF!</definedName>
    <definedName name="XRefCopy15Row" hidden="1">#REF!</definedName>
    <definedName name="XRefCopy16" localSheetId="1" hidden="1">[17]Resultado!#REF!</definedName>
    <definedName name="XRefCopy16" localSheetId="0" hidden="1">[17]Resultado!#REF!</definedName>
    <definedName name="XRefCopy16" hidden="1">[17]Resultado!#REF!</definedName>
    <definedName name="XRefCopy16Row" localSheetId="1" hidden="1">#REF!</definedName>
    <definedName name="XRefCopy16Row" localSheetId="0" hidden="1">#REF!</definedName>
    <definedName name="XRefCopy16Row" hidden="1">#REF!</definedName>
    <definedName name="XRefCopy17Row" localSheetId="1" hidden="1">#REF!</definedName>
    <definedName name="XRefCopy17Row" localSheetId="0" hidden="1">#REF!</definedName>
    <definedName name="XRefCopy17Row" hidden="1">#REF!</definedName>
    <definedName name="XRefCopy18" localSheetId="1" hidden="1">[17]Resultado!#REF!</definedName>
    <definedName name="XRefCopy18" localSheetId="0" hidden="1">[17]Resultado!#REF!</definedName>
    <definedName name="XRefCopy18" hidden="1">[17]Resultado!#REF!</definedName>
    <definedName name="XRefCopy18Row" localSheetId="1" hidden="1">#REF!</definedName>
    <definedName name="XRefCopy18Row" localSheetId="0" hidden="1">#REF!</definedName>
    <definedName name="XRefCopy18Row" hidden="1">#REF!</definedName>
    <definedName name="XRefCopy19" localSheetId="1" hidden="1">[17]Ativo!#REF!</definedName>
    <definedName name="XRefCopy19" localSheetId="0" hidden="1">[17]Ativo!#REF!</definedName>
    <definedName name="XRefCopy19" hidden="1">[17]Ativo!#REF!</definedName>
    <definedName name="XRefCopy19Row" localSheetId="1" hidden="1">#REF!</definedName>
    <definedName name="XRefCopy19Row" localSheetId="0" hidden="1">#REF!</definedName>
    <definedName name="XRefCopy19Row" hidden="1">#REF!</definedName>
    <definedName name="XRefCopy1Row" localSheetId="1" hidden="1">#REF!</definedName>
    <definedName name="XRefCopy1Row" localSheetId="0" hidden="1">#REF!</definedName>
    <definedName name="XRefCopy1Row" hidden="1">#REF!</definedName>
    <definedName name="XRefCopy20" localSheetId="1" hidden="1">[17]Ativo!#REF!</definedName>
    <definedName name="XRefCopy20" localSheetId="0" hidden="1">[17]Ativo!#REF!</definedName>
    <definedName name="XRefCopy20" hidden="1">[17]Ativo!#REF!</definedName>
    <definedName name="XRefCopy20Row" localSheetId="1" hidden="1">#REF!</definedName>
    <definedName name="XRefCopy20Row" localSheetId="0" hidden="1">#REF!</definedName>
    <definedName name="XRefCopy20Row" hidden="1">#REF!</definedName>
    <definedName name="XRefCopy21" localSheetId="1" hidden="1">[17]Passivo!#REF!</definedName>
    <definedName name="XRefCopy21" localSheetId="0" hidden="1">[17]Passivo!#REF!</definedName>
    <definedName name="XRefCopy21" hidden="1">[17]Passivo!#REF!</definedName>
    <definedName name="XRefCopy21Row" localSheetId="1" hidden="1">#REF!</definedName>
    <definedName name="XRefCopy21Row" localSheetId="0" hidden="1">#REF!</definedName>
    <definedName name="XRefCopy21Row" hidden="1">#REF!</definedName>
    <definedName name="XRefCopy22" localSheetId="1" hidden="1">[17]Passivo!#REF!</definedName>
    <definedName name="XRefCopy22" localSheetId="0" hidden="1">[17]Passivo!#REF!</definedName>
    <definedName name="XRefCopy22" hidden="1">[17]Passivo!#REF!</definedName>
    <definedName name="XRefCopy22Row" localSheetId="1" hidden="1">#REF!</definedName>
    <definedName name="XRefCopy22Row" localSheetId="0" hidden="1">#REF!</definedName>
    <definedName name="XRefCopy22Row" hidden="1">#REF!</definedName>
    <definedName name="XRefCopy23" localSheetId="1" hidden="1">[17]Passivo!#REF!</definedName>
    <definedName name="XRefCopy23" localSheetId="0" hidden="1">[17]Passivo!#REF!</definedName>
    <definedName name="XRefCopy23" hidden="1">[17]Passivo!#REF!</definedName>
    <definedName name="XRefCopy23Row" localSheetId="1" hidden="1">#REF!</definedName>
    <definedName name="XRefCopy23Row" localSheetId="0" hidden="1">#REF!</definedName>
    <definedName name="XRefCopy23Row" hidden="1">#REF!</definedName>
    <definedName name="XRefCopy24Row" localSheetId="1" hidden="1">#REF!</definedName>
    <definedName name="XRefCopy24Row" localSheetId="0" hidden="1">#REF!</definedName>
    <definedName name="XRefCopy24Row" hidden="1">#REF!</definedName>
    <definedName name="XRefCopy25Row" localSheetId="1" hidden="1">#REF!</definedName>
    <definedName name="XRefCopy25Row" localSheetId="0" hidden="1">#REF!</definedName>
    <definedName name="XRefCopy25Row" hidden="1">#REF!</definedName>
    <definedName name="XRefCopy2Row" localSheetId="1" hidden="1">#REF!</definedName>
    <definedName name="XRefCopy2Row" localSheetId="0" hidden="1">#REF!</definedName>
    <definedName name="XRefCopy2Row" hidden="1">#REF!</definedName>
    <definedName name="XRefCopy3" localSheetId="1" hidden="1">[17]Ativo!#REF!</definedName>
    <definedName name="XRefCopy3" localSheetId="0" hidden="1">[17]Ativo!#REF!</definedName>
    <definedName name="XRefCopy3" hidden="1">[17]Ativo!#REF!</definedName>
    <definedName name="XRefCopy38" localSheetId="1" hidden="1">[17]Passivo!#REF!</definedName>
    <definedName name="XRefCopy38" localSheetId="0" hidden="1">[17]Passivo!#REF!</definedName>
    <definedName name="XRefCopy38" hidden="1">[17]Passivo!#REF!</definedName>
    <definedName name="XRefCopy38Row" localSheetId="1" hidden="1">#REF!</definedName>
    <definedName name="XRefCopy38Row" localSheetId="0" hidden="1">#REF!</definedName>
    <definedName name="XRefCopy38Row" hidden="1">#REF!</definedName>
    <definedName name="XRefCopy39" localSheetId="1" hidden="1">[17]Ativo!#REF!</definedName>
    <definedName name="XRefCopy39" localSheetId="0" hidden="1">[17]Ativo!#REF!</definedName>
    <definedName name="XRefCopy39" hidden="1">[17]Ativo!#REF!</definedName>
    <definedName name="XRefCopy39Row" localSheetId="1" hidden="1">#REF!</definedName>
    <definedName name="XRefCopy39Row" localSheetId="0" hidden="1">#REF!</definedName>
    <definedName name="XRefCopy39Row" hidden="1">#REF!</definedName>
    <definedName name="XRefCopy3Row" localSheetId="1" hidden="1">#REF!</definedName>
    <definedName name="XRefCopy3Row" localSheetId="0" hidden="1">#REF!</definedName>
    <definedName name="XRefCopy3Row" hidden="1">#REF!</definedName>
    <definedName name="XRefCopy4" localSheetId="1" hidden="1">[17]Ativo!#REF!</definedName>
    <definedName name="XRefCopy4" localSheetId="0" hidden="1">[17]Ativo!#REF!</definedName>
    <definedName name="XRefCopy4" hidden="1">[17]Ativo!#REF!</definedName>
    <definedName name="XRefCopy40" localSheetId="1" hidden="1">#REF!</definedName>
    <definedName name="XRefCopy40" localSheetId="0" hidden="1">#REF!</definedName>
    <definedName name="XRefCopy40" hidden="1">#REF!</definedName>
    <definedName name="XRefCopy41" localSheetId="1" hidden="1">#REF!</definedName>
    <definedName name="XRefCopy41" localSheetId="0" hidden="1">#REF!</definedName>
    <definedName name="XRefCopy41" hidden="1">#REF!</definedName>
    <definedName name="XRefCopy41Row" localSheetId="1" hidden="1">#REF!</definedName>
    <definedName name="XRefCopy41Row" localSheetId="0" hidden="1">#REF!</definedName>
    <definedName name="XRefCopy41Row" hidden="1">#REF!</definedName>
    <definedName name="XRefCopy42Row" localSheetId="1" hidden="1">#REF!</definedName>
    <definedName name="XRefCopy42Row" localSheetId="0" hidden="1">#REF!</definedName>
    <definedName name="XRefCopy42Row" hidden="1">#REF!</definedName>
    <definedName name="XRefCopy43" localSheetId="1" hidden="1">[17]Passivo!#REF!</definedName>
    <definedName name="XRefCopy43" localSheetId="0" hidden="1">[17]Passivo!#REF!</definedName>
    <definedName name="XRefCopy43" hidden="1">[17]Passivo!#REF!</definedName>
    <definedName name="XRefCopy43Row" localSheetId="1" hidden="1">#REF!</definedName>
    <definedName name="XRefCopy43Row" localSheetId="0" hidden="1">#REF!</definedName>
    <definedName name="XRefCopy43Row" hidden="1">#REF!</definedName>
    <definedName name="XRefCopy44" localSheetId="1" hidden="1">[17]Passivo!#REF!</definedName>
    <definedName name="XRefCopy44" localSheetId="0" hidden="1">[17]Passivo!#REF!</definedName>
    <definedName name="XRefCopy44" hidden="1">[17]Passivo!#REF!</definedName>
    <definedName name="XRefCopy44Row" localSheetId="1" hidden="1">#REF!</definedName>
    <definedName name="XRefCopy44Row" localSheetId="0" hidden="1">#REF!</definedName>
    <definedName name="XRefCopy44Row" hidden="1">#REF!</definedName>
    <definedName name="XRefCopy45" localSheetId="1" hidden="1">[17]Passivo!#REF!</definedName>
    <definedName name="XRefCopy45" localSheetId="0" hidden="1">[17]Passivo!#REF!</definedName>
    <definedName name="XRefCopy45" hidden="1">[17]Passivo!#REF!</definedName>
    <definedName name="XRefCopy45Row" localSheetId="1" hidden="1">#REF!</definedName>
    <definedName name="XRefCopy45Row" localSheetId="0" hidden="1">#REF!</definedName>
    <definedName name="XRefCopy45Row" hidden="1">#REF!</definedName>
    <definedName name="XRefCopy46Row" localSheetId="1" hidden="1">#REF!</definedName>
    <definedName name="XRefCopy46Row" localSheetId="0" hidden="1">#REF!</definedName>
    <definedName name="XRefCopy46Row" hidden="1">#REF!</definedName>
    <definedName name="XRefCopy47" localSheetId="1" hidden="1">#REF!</definedName>
    <definedName name="XRefCopy47" localSheetId="0" hidden="1">#REF!</definedName>
    <definedName name="XRefCopy47" hidden="1">#REF!</definedName>
    <definedName name="XRefCopy48Row" localSheetId="1" hidden="1">[17]XREF!#REF!</definedName>
    <definedName name="XRefCopy48Row" localSheetId="0" hidden="1">[17]XREF!#REF!</definedName>
    <definedName name="XRefCopy48Row" hidden="1">[17]XREF!#REF!</definedName>
    <definedName name="XRefCopy4Row" localSheetId="1" hidden="1">#REF!</definedName>
    <definedName name="XRefCopy4Row" localSheetId="0" hidden="1">#REF!</definedName>
    <definedName name="XRefCopy4Row" hidden="1">#REF!</definedName>
    <definedName name="XRefCopy5" localSheetId="1" hidden="1">[17]Ativo!#REF!</definedName>
    <definedName name="XRefCopy5" localSheetId="0" hidden="1">[17]Ativo!#REF!</definedName>
    <definedName name="XRefCopy5" hidden="1">[17]Ativo!#REF!</definedName>
    <definedName name="XRefCopy50" localSheetId="1" hidden="1">#REF!</definedName>
    <definedName name="XRefCopy50" localSheetId="0" hidden="1">#REF!</definedName>
    <definedName name="XRefCopy50" hidden="1">#REF!</definedName>
    <definedName name="XRefCopy5Row" localSheetId="1" hidden="1">#REF!</definedName>
    <definedName name="XRefCopy5Row" localSheetId="0" hidden="1">#REF!</definedName>
    <definedName name="XRefCopy5Row" hidden="1">#REF!</definedName>
    <definedName name="XRefCopy6" localSheetId="1" hidden="1">[17]Ativo!#REF!</definedName>
    <definedName name="XRefCopy6" localSheetId="0" hidden="1">[17]Ativo!#REF!</definedName>
    <definedName name="XRefCopy6" hidden="1">[17]Ativo!#REF!</definedName>
    <definedName name="XRefCopy6Row" localSheetId="1" hidden="1">#REF!</definedName>
    <definedName name="XRefCopy6Row" localSheetId="0" hidden="1">#REF!</definedName>
    <definedName name="XRefCopy6Row" hidden="1">#REF!</definedName>
    <definedName name="XRefCopy7Row" localSheetId="1" hidden="1">#REF!</definedName>
    <definedName name="XRefCopy7Row" localSheetId="0" hidden="1">#REF!</definedName>
    <definedName name="XRefCopy7Row" hidden="1">#REF!</definedName>
    <definedName name="XRefCopy8Row" localSheetId="1" hidden="1">#REF!</definedName>
    <definedName name="XRefCopy8Row" localSheetId="0" hidden="1">#REF!</definedName>
    <definedName name="XRefCopy8Row" hidden="1">#REF!</definedName>
    <definedName name="XRefCopy9Row" localSheetId="1" hidden="1">#REF!</definedName>
    <definedName name="XRefCopy9Row" localSheetId="0" hidden="1">#REF!</definedName>
    <definedName name="XRefCopy9Row" hidden="1">#REF!</definedName>
    <definedName name="XRefCopyRangeCount" hidden="1">24</definedName>
    <definedName name="XRefPaste1" localSheetId="1" hidden="1">[17]Ativo!#REF!</definedName>
    <definedName name="XRefPaste1" localSheetId="0" hidden="1">[17]Ativo!#REF!</definedName>
    <definedName name="XRefPaste1" hidden="1">[17]Ativo!#REF!</definedName>
    <definedName name="XRefPaste10Row" localSheetId="1" hidden="1">#REF!</definedName>
    <definedName name="XRefPaste10Row" localSheetId="0" hidden="1">#REF!</definedName>
    <definedName name="XRefPaste10Row" hidden="1">#REF!</definedName>
    <definedName name="XRefPaste11Row" localSheetId="1" hidden="1">#REF!</definedName>
    <definedName name="XRefPaste11Row" localSheetId="0" hidden="1">#REF!</definedName>
    <definedName name="XRefPaste11Row" hidden="1">#REF!</definedName>
    <definedName name="XRefPaste12" localSheetId="1" hidden="1">[17]Ativo!#REF!</definedName>
    <definedName name="XRefPaste12" localSheetId="0" hidden="1">[17]Ativo!#REF!</definedName>
    <definedName name="XRefPaste12" hidden="1">[17]Ativo!#REF!</definedName>
    <definedName name="XRefPaste12Row" localSheetId="1" hidden="1">#REF!</definedName>
    <definedName name="XRefPaste12Row" localSheetId="0" hidden="1">#REF!</definedName>
    <definedName name="XRefPaste12Row" hidden="1">#REF!</definedName>
    <definedName name="XRefPaste13" localSheetId="1" hidden="1">[17]Ativo!#REF!</definedName>
    <definedName name="XRefPaste13" localSheetId="0" hidden="1">[17]Ativo!#REF!</definedName>
    <definedName name="XRefPaste13" hidden="1">[17]Ativo!#REF!</definedName>
    <definedName name="XRefPaste13Row" localSheetId="1" hidden="1">#REF!</definedName>
    <definedName name="XRefPaste13Row" localSheetId="0" hidden="1">#REF!</definedName>
    <definedName name="XRefPaste13Row" hidden="1">#REF!</definedName>
    <definedName name="XRefPaste14" localSheetId="1" hidden="1">[17]Passivo!#REF!</definedName>
    <definedName name="XRefPaste14" localSheetId="0" hidden="1">[17]Passivo!#REF!</definedName>
    <definedName name="XRefPaste14" hidden="1">[17]Passivo!#REF!</definedName>
    <definedName name="XRefPaste14Row" localSheetId="1" hidden="1">#REF!</definedName>
    <definedName name="XRefPaste14Row" localSheetId="0" hidden="1">#REF!</definedName>
    <definedName name="XRefPaste14Row" hidden="1">#REF!</definedName>
    <definedName name="XRefPaste15Row" localSheetId="1" hidden="1">#REF!</definedName>
    <definedName name="XRefPaste15Row" localSheetId="0" hidden="1">#REF!</definedName>
    <definedName name="XRefPaste15Row" hidden="1">#REF!</definedName>
    <definedName name="XRefPaste16Row" localSheetId="1" hidden="1">#REF!</definedName>
    <definedName name="XRefPaste16Row" localSheetId="0" hidden="1">#REF!</definedName>
    <definedName name="XRefPaste16Row" hidden="1">#REF!</definedName>
    <definedName name="XRefPaste17Row" localSheetId="1" hidden="1">#REF!</definedName>
    <definedName name="XRefPaste17Row" localSheetId="0" hidden="1">#REF!</definedName>
    <definedName name="XRefPaste17Row" hidden="1">#REF!</definedName>
    <definedName name="XRefPaste18Row" localSheetId="1" hidden="1">#REF!</definedName>
    <definedName name="XRefPaste18Row" localSheetId="0" hidden="1">#REF!</definedName>
    <definedName name="XRefPaste18Row" hidden="1">#REF!</definedName>
    <definedName name="XRefPaste19Row" localSheetId="1" hidden="1">#REF!</definedName>
    <definedName name="XRefPaste19Row" localSheetId="0" hidden="1">#REF!</definedName>
    <definedName name="XRefPaste19Row" hidden="1">#REF!</definedName>
    <definedName name="XRefPaste1Row" localSheetId="1" hidden="1">#REF!</definedName>
    <definedName name="XRefPaste1Row" localSheetId="0" hidden="1">#REF!</definedName>
    <definedName name="XRefPaste1Row" hidden="1">#REF!</definedName>
    <definedName name="XRefPaste2" localSheetId="1" hidden="1">[17]Ativo!#REF!</definedName>
    <definedName name="XRefPaste2" localSheetId="0" hidden="1">[17]Ativo!#REF!</definedName>
    <definedName name="XRefPaste2" hidden="1">[17]Ativo!#REF!</definedName>
    <definedName name="XRefPaste20Row" localSheetId="1" hidden="1">#REF!</definedName>
    <definedName name="XRefPaste20Row" localSheetId="0" hidden="1">#REF!</definedName>
    <definedName name="XRefPaste20Row" hidden="1">#REF!</definedName>
    <definedName name="XRefPaste21Row" localSheetId="1" hidden="1">#REF!</definedName>
    <definedName name="XRefPaste21Row" localSheetId="0" hidden="1">#REF!</definedName>
    <definedName name="XRefPaste21Row" hidden="1">#REF!</definedName>
    <definedName name="XRefPaste22Row" localSheetId="1" hidden="1">#REF!</definedName>
    <definedName name="XRefPaste22Row" localSheetId="0" hidden="1">#REF!</definedName>
    <definedName name="XRefPaste22Row" hidden="1">#REF!</definedName>
    <definedName name="XRefPaste23Row" localSheetId="1" hidden="1">#REF!</definedName>
    <definedName name="XRefPaste23Row" localSheetId="0" hidden="1">#REF!</definedName>
    <definedName name="XRefPaste23Row" hidden="1">#REF!</definedName>
    <definedName name="XRefPaste24Row" localSheetId="1" hidden="1">#REF!</definedName>
    <definedName name="XRefPaste24Row" localSheetId="0" hidden="1">#REF!</definedName>
    <definedName name="XRefPaste24Row" hidden="1">#REF!</definedName>
    <definedName name="XRefPaste25Row" localSheetId="1" hidden="1">#REF!</definedName>
    <definedName name="XRefPaste25Row" localSheetId="0" hidden="1">#REF!</definedName>
    <definedName name="XRefPaste25Row" hidden="1">#REF!</definedName>
    <definedName name="XRefPaste26Row" localSheetId="1" hidden="1">#REF!</definedName>
    <definedName name="XRefPaste26Row" localSheetId="0" hidden="1">#REF!</definedName>
    <definedName name="XRefPaste26Row" hidden="1">#REF!</definedName>
    <definedName name="XRefPaste27Row" localSheetId="1" hidden="1">#REF!</definedName>
    <definedName name="XRefPaste27Row" localSheetId="0" hidden="1">#REF!</definedName>
    <definedName name="XRefPaste27Row" hidden="1">#REF!</definedName>
    <definedName name="XRefPaste28Row" localSheetId="1" hidden="1">#REF!</definedName>
    <definedName name="XRefPaste28Row" localSheetId="0" hidden="1">#REF!</definedName>
    <definedName name="XRefPaste28Row" hidden="1">#REF!</definedName>
    <definedName name="XRefPaste29Row" localSheetId="1" hidden="1">#REF!</definedName>
    <definedName name="XRefPaste29Row" localSheetId="0" hidden="1">#REF!</definedName>
    <definedName name="XRefPaste29Row" hidden="1">#REF!</definedName>
    <definedName name="XRefPaste2Row" localSheetId="1" hidden="1">#REF!</definedName>
    <definedName name="XRefPaste2Row" localSheetId="0" hidden="1">#REF!</definedName>
    <definedName name="XRefPaste2Row" hidden="1">#REF!</definedName>
    <definedName name="XRefPaste3" localSheetId="1" hidden="1">[17]Ativo!#REF!</definedName>
    <definedName name="XRefPaste3" localSheetId="0" hidden="1">[17]Ativo!#REF!</definedName>
    <definedName name="XRefPaste3" hidden="1">[17]Ativo!#REF!</definedName>
    <definedName name="XRefPaste30Row" localSheetId="1" hidden="1">#REF!</definedName>
    <definedName name="XRefPaste30Row" localSheetId="0" hidden="1">#REF!</definedName>
    <definedName name="XRefPaste30Row" hidden="1">#REF!</definedName>
    <definedName name="XRefPaste31Row" localSheetId="1" hidden="1">#REF!</definedName>
    <definedName name="XRefPaste31Row" localSheetId="0" hidden="1">#REF!</definedName>
    <definedName name="XRefPaste31Row" hidden="1">#REF!</definedName>
    <definedName name="XRefPaste32Row" localSheetId="1" hidden="1">#REF!</definedName>
    <definedName name="XRefPaste32Row" localSheetId="0" hidden="1">#REF!</definedName>
    <definedName name="XRefPaste32Row" hidden="1">#REF!</definedName>
    <definedName name="XRefPaste33Row" localSheetId="1" hidden="1">#REF!</definedName>
    <definedName name="XRefPaste33Row" localSheetId="0" hidden="1">#REF!</definedName>
    <definedName name="XRefPaste33Row" hidden="1">#REF!</definedName>
    <definedName name="XRefPaste34Row" localSheetId="1" hidden="1">#REF!</definedName>
    <definedName name="XRefPaste34Row" localSheetId="0" hidden="1">#REF!</definedName>
    <definedName name="XRefPaste34Row" hidden="1">#REF!</definedName>
    <definedName name="XRefPaste35Row" localSheetId="1" hidden="1">#REF!</definedName>
    <definedName name="XRefPaste35Row" localSheetId="0" hidden="1">#REF!</definedName>
    <definedName name="XRefPaste35Row" hidden="1">#REF!</definedName>
    <definedName name="XRefPaste39Row" localSheetId="1" hidden="1">#REF!</definedName>
    <definedName name="XRefPaste39Row" localSheetId="0" hidden="1">#REF!</definedName>
    <definedName name="XRefPaste39Row" hidden="1">#REF!</definedName>
    <definedName name="XRefPaste3Row" localSheetId="1" hidden="1">#REF!</definedName>
    <definedName name="XRefPaste3Row" localSheetId="0" hidden="1">#REF!</definedName>
    <definedName name="XRefPaste3Row" hidden="1">#REF!</definedName>
    <definedName name="XRefPaste4" localSheetId="1" hidden="1">[17]Ativo!#REF!</definedName>
    <definedName name="XRefPaste4" localSheetId="0" hidden="1">[17]Ativo!#REF!</definedName>
    <definedName name="XRefPaste4" hidden="1">[17]Ativo!#REF!</definedName>
    <definedName name="XRefPaste40" localSheetId="1" hidden="1">#REF!</definedName>
    <definedName name="XRefPaste40" localSheetId="0" hidden="1">#REF!</definedName>
    <definedName name="XRefPaste40" hidden="1">#REF!</definedName>
    <definedName name="XRefPaste40Row" localSheetId="1" hidden="1">#REF!</definedName>
    <definedName name="XRefPaste40Row" localSheetId="0" hidden="1">#REF!</definedName>
    <definedName name="XRefPaste40Row" hidden="1">#REF!</definedName>
    <definedName name="XRefPaste41" localSheetId="1" hidden="1">[17]Ativo!#REF!</definedName>
    <definedName name="XRefPaste41" localSheetId="0" hidden="1">[17]Ativo!#REF!</definedName>
    <definedName name="XRefPaste41" hidden="1">[17]Ativo!#REF!</definedName>
    <definedName name="XRefPaste41Row" localSheetId="1" hidden="1">#REF!</definedName>
    <definedName name="XRefPaste41Row" localSheetId="0" hidden="1">#REF!</definedName>
    <definedName name="XRefPaste41Row" hidden="1">#REF!</definedName>
    <definedName name="XRefPaste43Row" localSheetId="1" hidden="1">#REF!</definedName>
    <definedName name="XRefPaste43Row" localSheetId="0" hidden="1">#REF!</definedName>
    <definedName name="XRefPaste43Row" hidden="1">#REF!</definedName>
    <definedName name="XRefPaste47Row" localSheetId="1" hidden="1">#REF!</definedName>
    <definedName name="XRefPaste47Row" localSheetId="0" hidden="1">#REF!</definedName>
    <definedName name="XRefPaste47Row" hidden="1">#REF!</definedName>
    <definedName name="XRefPaste48" localSheetId="1" hidden="1">[17]Passivo!#REF!</definedName>
    <definedName name="XRefPaste48" localSheetId="0" hidden="1">[17]Passivo!#REF!</definedName>
    <definedName name="XRefPaste48" hidden="1">[17]Passivo!#REF!</definedName>
    <definedName name="XRefPaste48Row" localSheetId="1" hidden="1">#REF!</definedName>
    <definedName name="XRefPaste48Row" localSheetId="0" hidden="1">#REF!</definedName>
    <definedName name="XRefPaste48Row" hidden="1">#REF!</definedName>
    <definedName name="XRefPaste4Row" localSheetId="1" hidden="1">#REF!</definedName>
    <definedName name="XRefPaste4Row" localSheetId="0" hidden="1">#REF!</definedName>
    <definedName name="XRefPaste4Row" hidden="1">#REF!</definedName>
    <definedName name="XRefPaste5" localSheetId="1" hidden="1">[17]Passivo!#REF!</definedName>
    <definedName name="XRefPaste5" localSheetId="0" hidden="1">[17]Passivo!#REF!</definedName>
    <definedName name="XRefPaste5" hidden="1">[17]Passivo!#REF!</definedName>
    <definedName name="XRefPaste51Row" localSheetId="1" hidden="1">[17]XREF!#REF!</definedName>
    <definedName name="XRefPaste51Row" localSheetId="0" hidden="1">[17]XREF!#REF!</definedName>
    <definedName name="XRefPaste51Row" hidden="1">[17]XREF!#REF!</definedName>
    <definedName name="XRefPaste52Row" localSheetId="1" hidden="1">[17]XREF!#REF!</definedName>
    <definedName name="XRefPaste52Row" localSheetId="0" hidden="1">[17]XREF!#REF!</definedName>
    <definedName name="XRefPaste52Row" hidden="1">[17]XREF!#REF!</definedName>
    <definedName name="XRefPaste5Row" localSheetId="1" hidden="1">#REF!</definedName>
    <definedName name="XRefPaste5Row" localSheetId="0" hidden="1">#REF!</definedName>
    <definedName name="XRefPaste5Row" hidden="1">#REF!</definedName>
    <definedName name="XRefPaste6" localSheetId="1" hidden="1">[17]Passivo!#REF!</definedName>
    <definedName name="XRefPaste6" localSheetId="0" hidden="1">[17]Passivo!#REF!</definedName>
    <definedName name="XRefPaste6" hidden="1">[17]Passivo!#REF!</definedName>
    <definedName name="XRefPaste6Row" localSheetId="1" hidden="1">#REF!</definedName>
    <definedName name="XRefPaste6Row" localSheetId="0" hidden="1">#REF!</definedName>
    <definedName name="XRefPaste6Row" hidden="1">#REF!</definedName>
    <definedName name="XRefPaste7" localSheetId="1" hidden="1">[17]Resultado!#REF!</definedName>
    <definedName name="XRefPaste7" localSheetId="0" hidden="1">[17]Resultado!#REF!</definedName>
    <definedName name="XRefPaste7" hidden="1">[17]Resultado!#REF!</definedName>
    <definedName name="XRefPaste7Row" localSheetId="1" hidden="1">#REF!</definedName>
    <definedName name="XRefPaste7Row" localSheetId="0" hidden="1">#REF!</definedName>
    <definedName name="XRefPaste7Row" hidden="1">#REF!</definedName>
    <definedName name="XRefPaste8" localSheetId="1" hidden="1">[17]Resultado!#REF!</definedName>
    <definedName name="XRefPaste8" localSheetId="0" hidden="1">[17]Resultado!#REF!</definedName>
    <definedName name="XRefPaste8" hidden="1">[17]Resultado!#REF!</definedName>
    <definedName name="XRefPaste8Row" localSheetId="1" hidden="1">#REF!</definedName>
    <definedName name="XRefPaste8Row" localSheetId="0" hidden="1">#REF!</definedName>
    <definedName name="XRefPaste8Row" hidden="1">#REF!</definedName>
    <definedName name="XRefPaste9" localSheetId="1" hidden="1">[17]Resultado!#REF!</definedName>
    <definedName name="XRefPaste9" localSheetId="0" hidden="1">[17]Resultado!#REF!</definedName>
    <definedName name="XRefPaste9" hidden="1">[17]Resultado!#REF!</definedName>
    <definedName name="XRefPaste9Row" localSheetId="1" hidden="1">#REF!</definedName>
    <definedName name="XRefPaste9Row" localSheetId="0" hidden="1">#REF!</definedName>
    <definedName name="XRefPaste9Row" hidden="1">#REF!</definedName>
    <definedName name="XRefPasteRangeCount" hidden="1">15</definedName>
    <definedName name="xxx" hidden="1">{#N/A,#N/A,FALSE,"Tabl. G1";#N/A,#N/A,FALSE,"Tabl. G2"}</definedName>
    <definedName name="xxxjghj" localSheetId="1" hidden="1">[1]COMPPROD!#REF!</definedName>
    <definedName name="xxxjghj" localSheetId="0" hidden="1">[1]COMPPROD!#REF!</definedName>
    <definedName name="xxxjghj" hidden="1">[1]COMPPROD!#REF!</definedName>
    <definedName name="xxxx" hidden="1">{#N/A,#N/A,FALSE,"Tabl. D1";#N/A,#N/A,FALSE,"Tabl. D1 b";#N/A,#N/A,FALSE,"Tabl. D2";#N/A,#N/A,FALSE,"Tabl. D2 b";#N/A,#N/A,FALSE,"Tabl. D3";#N/A,#N/A,FALSE,"Tabl. D4";#N/A,#N/A,FALSE,"Tabl. D5"}</definedName>
    <definedName name="xxxxx" localSheetId="1" hidden="1">#REF!</definedName>
    <definedName name="xxxxx" localSheetId="0" hidden="1">#REF!</definedName>
    <definedName name="xxxxx" hidden="1">#REF!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jymyjgjd" hidden="1">{"'RR'!$A$2:$E$81"}</definedName>
    <definedName name="ymtmymy" hidden="1">{"'RR'!$A$2:$E$81"}</definedName>
    <definedName name="yr" hidden="1">{"MATRIZES",#N/A,FALSE,"Obras"}</definedName>
    <definedName name="ytj6ymyu" hidden="1">{"'RR'!$A$2:$E$81"}</definedName>
    <definedName name="yurttserr" hidden="1">{#N/A,#N/A,FALSE,"Tabl. D1";#N/A,#N/A,FALSE,"Tabl. D1 b";#N/A,#N/A,FALSE,"Tabl. D2";#N/A,#N/A,FALSE,"Tabl. D2 b";#N/A,#N/A,FALSE,"Tabl. D3";#N/A,#N/A,FALSE,"Tabl. D4";#N/A,#N/A,FALSE,"Tabl. D5"}</definedName>
    <definedName name="yy" hidden="1">{"AVÓS",#N/A,FALSE,"Obras"}</definedName>
    <definedName name="yyntyhn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hidden="1">{#N/A,#N/A,FALSE,"Tabl. G1";#N/A,#N/A,FALSE,"Tabl. G2"}</definedName>
    <definedName name="yyyyy" hidden="1">{#N/A,#N/A,FALSE,"Tabl. D1";#N/A,#N/A,FALSE,"Tabl. D1 b";#N/A,#N/A,FALSE,"Tabl. D2";#N/A,#N/A,FALSE,"Tabl. D2 b";#N/A,#N/A,FALSE,"Tabl. D3";#N/A,#N/A,FALSE,"Tabl. D4";#N/A,#N/A,FALSE,"Tabl. D5"}</definedName>
    <definedName name="z" hidden="1">{"APOIO",#N/A,FALSE,"Obras"}</definedName>
    <definedName name="zzz" hidden="1">{#N/A,#N/A,FALSE,"Tabl. G1";#N/A,#N/A,FALSE,"Tabl. G2"}</definedName>
    <definedName name="дек." hidden="1">{#N/A,#N/A,FALSE,"Sheet1"}</definedName>
    <definedName name="март2006" hidden="1">{#N/A,#N/A,FALSE,"Sheet1"}</definedName>
    <definedName name="ноябрь" hidden="1">{#N/A,#N/A,FALSE,"Sheet1"}</definedName>
    <definedName name="про" hidden="1">{#N/A,#N/A,FALSE,"Sheet1"}</definedName>
    <definedName name="февраль2006" hidden="1">{#N/A,#N/A,FALSE,"Sheet1"}</definedName>
    <definedName name="шахта" hidden="1">{#N/A,#N/A,FALSE,"Sheet1"}</definedName>
  </definedNames>
  <calcPr calcId="162913" concurrentCalc="0"/>
  <pivotCaches>
    <pivotCache cacheId="0" r:id="rId2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11" l="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N8" i="11"/>
  <c r="P8" i="11"/>
  <c r="N9" i="11"/>
  <c r="P9" i="11"/>
  <c r="N10" i="11"/>
  <c r="P10" i="11"/>
  <c r="N11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O6" i="11"/>
  <c r="L6" i="11"/>
  <c r="N25" i="1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N7" i="11"/>
  <c r="K25" i="11"/>
  <c r="M25" i="11"/>
  <c r="K24" i="11"/>
  <c r="M24" i="11"/>
  <c r="K23" i="11"/>
  <c r="M23" i="11"/>
  <c r="K22" i="11"/>
  <c r="M22" i="11"/>
  <c r="K21" i="11"/>
  <c r="M21" i="11"/>
  <c r="K20" i="11"/>
  <c r="M20" i="11"/>
  <c r="K19" i="11"/>
  <c r="M19" i="11"/>
  <c r="K18" i="11"/>
  <c r="M18" i="11"/>
  <c r="K17" i="11"/>
  <c r="M17" i="11"/>
  <c r="K16" i="11"/>
  <c r="M16" i="11"/>
  <c r="K15" i="11"/>
  <c r="M15" i="11"/>
  <c r="K14" i="11"/>
  <c r="M14" i="11"/>
  <c r="K13" i="11"/>
  <c r="M13" i="11"/>
  <c r="K12" i="11"/>
  <c r="M12" i="11"/>
  <c r="K11" i="11"/>
  <c r="M11" i="11"/>
  <c r="K10" i="11"/>
  <c r="M10" i="11"/>
  <c r="K9" i="11"/>
  <c r="M9" i="11"/>
  <c r="K8" i="11"/>
  <c r="M8" i="11"/>
  <c r="K7" i="11"/>
  <c r="M7" i="11"/>
  <c r="K6" i="11"/>
  <c r="N6" i="11"/>
  <c r="M6" i="11"/>
  <c r="P6" i="11"/>
  <c r="P7" i="11"/>
</calcChain>
</file>

<file path=xl/sharedStrings.xml><?xml version="1.0" encoding="utf-8"?>
<sst xmlns="http://schemas.openxmlformats.org/spreadsheetml/2006/main" count="24" uniqueCount="21">
  <si>
    <t>Componentes do Projeto</t>
  </si>
  <si>
    <t xml:space="preserve">Declaração de escopo </t>
  </si>
  <si>
    <t>O que será feito</t>
  </si>
  <si>
    <t>#</t>
  </si>
  <si>
    <t>Item</t>
  </si>
  <si>
    <t>Critério Aceitação</t>
  </si>
  <si>
    <t>Responsável pela execução</t>
  </si>
  <si>
    <t>Responsável pela Aceitação</t>
  </si>
  <si>
    <t>Ciclo planejado (mês)</t>
  </si>
  <si>
    <t>Ciclo planejado (ano)</t>
  </si>
  <si>
    <t>Chave planejado</t>
  </si>
  <si>
    <t>Ciclo realizado (mês)</t>
  </si>
  <si>
    <t>Ciclo realizado (ano)</t>
  </si>
  <si>
    <t>Chave realizado</t>
  </si>
  <si>
    <t xml:space="preserve">      O que não será feito</t>
  </si>
  <si>
    <t>O que NÃO será feito</t>
  </si>
  <si>
    <t>Estrutura Analítica do Projeto (EAP)</t>
  </si>
  <si>
    <t xml:space="preserve">Planejamento do Projeto </t>
  </si>
  <si>
    <t>Objetivo</t>
  </si>
  <si>
    <t>A EAP, estrutura analítica do projeto, ou WBS, work breakdown structure, define as entregas do projeto e sua decomposição em Pacotes de trabalho.
O sistema de numeração da EAP identifica o nível no qual cada elemento da EAP se encontra. Por exemplo: Código da EAP=1.1.1  está no terceiro nível.
A EAP fornece uma visão estruturada das entregas do projeto e é um ótimo instrumento para alinhar o entendimento do projeto e integrar todas as áreas.
Sempre que possível, todos os documentos gerados no projeto devem referenciar o Código da EAP.
A EAP normalmente é representada de forma gráfica para facilitar o entendimento e a visualização, mas, quando não existem softwares para gerá-la, ela pode ser representada de forma identada.</t>
  </si>
  <si>
    <t>Modelo de EAP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</si>
</sst>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5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yyyy"/>
    <numFmt numFmtId="167" formatCode="mm/dd/yy"/>
    <numFmt numFmtId="168" formatCode="[Red]* #,##0.0000\e;;[Red]* &quot;-&quot;??\e;_(@_)"/>
    <numFmt numFmtId="169" formatCode="_([$€]* #,##0.00_);_([$€]* \(#,##0.00\);_([$€]* &quot;-&quot;??_);_(@_)"/>
    <numFmt numFmtId="170" formatCode="_([$€-2]* #,##0.00_);_([$€-2]* \(#,##0.00\);_([$€-2]* &quot;-&quot;??_)"/>
    <numFmt numFmtId="171" formatCode="#,#00"/>
    <numFmt numFmtId="172" formatCode="&quot;   &quot;@"/>
    <numFmt numFmtId="173" formatCode="* #,##0.0000_e;;* &quot;-&quot;??_e;_(@_)"/>
    <numFmt numFmtId="174" formatCode="_(* #,##0,_)\K;_(* \(#,##0,_)\K;_(* &quot;-&quot;??_);@_)"/>
    <numFmt numFmtId="175" formatCode="_(&quot;R$ &quot;* #,##0.00_);_(&quot;R$ &quot;* \(#,##0.00\);_(&quot;R$ &quot;* &quot;-&quot;??_);_(@_)"/>
    <numFmt numFmtId="176" formatCode="0.0"/>
    <numFmt numFmtId="177" formatCode="0.000000"/>
    <numFmt numFmtId="178" formatCode="mmmm\-yy"/>
    <numFmt numFmtId="179" formatCode="_(* #,##0.0_)&quot;MR$&quot;;_(* \(#,##0.0\);_(* &quot;-&quot;??_);_(@_)"/>
    <numFmt numFmtId="180" formatCode="_(* #,##0.0_)&quot;MUS$&quot;;_(* \(#,##0.0\);_(* &quot;-&quot;??_);_(@_)"/>
    <numFmt numFmtId="181" formatCode=";;_(* &quot;ND&quot;??_);_(@_)"/>
    <numFmt numFmtId="182" formatCode="[$-416]mmm\-yy;@"/>
    <numFmt numFmtId="183" formatCode="%#,#00"/>
    <numFmt numFmtId="184" formatCode="#.##000"/>
    <numFmt numFmtId="185" formatCode="#,##0.0000&quot; R$/Kg&quot;"/>
    <numFmt numFmtId="186" formatCode="[Blue]* #,##0.0000_.\r;;[Blue]* &quot;-&quot;??_.\r;_(@_)"/>
    <numFmt numFmtId="187" formatCode="0.00000"/>
    <numFmt numFmtId="188" formatCode="000000000"/>
    <numFmt numFmtId="189" formatCode="_(* #,##0_);_(* \(#,##0\);_(* &quot;-&quot;??_);_(@_)"/>
    <numFmt numFmtId="190" formatCode="#,"/>
    <numFmt numFmtId="191" formatCode="[&gt;0.001]_(* #,##0_);[&lt;-0.001]_(* \(#,##0\);_(* &quot;-&quot;??_)"/>
    <numFmt numFmtId="192" formatCode="&quot;$&quot;#,##0_);[Red]\(&quot;$&quot;#,##0\)"/>
    <numFmt numFmtId="193" formatCode="\$#,##0\ ;\(\$#,##0\)"/>
    <numFmt numFmtId="194" formatCode="#,##0;\(#,##0\)"/>
    <numFmt numFmtId="195" formatCode="##0.00"/>
    <numFmt numFmtId="196" formatCode="d/m/yy"/>
    <numFmt numFmtId="197" formatCode="#,##0.000_);[Red]\(#,##0.000\)"/>
    <numFmt numFmtId="198" formatCode="d"/>
    <numFmt numFmtId="200" formatCode="_-* #,##0.00\ [$€]_-;\-* #,##0.00\ [$€]_-;_-* &quot;-&quot;??\ [$€]_-;_-@_-"/>
    <numFmt numFmtId="202" formatCode="\£\ #,##0_);[Red]\(\£\ #,##0\)"/>
    <numFmt numFmtId="203" formatCode="\¥\ #,##0_);[Red]\(\¥\ #,##0\)"/>
    <numFmt numFmtId="204" formatCode="General_)"/>
    <numFmt numFmtId="205" formatCode="\•\ \ @"/>
    <numFmt numFmtId="206" formatCode="&quot;R$ &quot;#,##0.00_);[Red]\(&quot;R$ &quot;#,##0.00\)"/>
    <numFmt numFmtId="207" formatCode="#,##0.0000"/>
    <numFmt numFmtId="208" formatCode="###\ ###\ ####"/>
    <numFmt numFmtId="209" formatCode="####\ ####\ ##"/>
    <numFmt numFmtId="210" formatCode="0.000_)"/>
    <numFmt numFmtId="211" formatCode="\ \ _•\–\ \ \ \ @"/>
    <numFmt numFmtId="212" formatCode="#,##0.00;\-#,##0.00;&quot;&quot;"/>
    <numFmt numFmtId="213" formatCode="#,##0;\-#,##0;&quot; &quot;"/>
    <numFmt numFmtId="214" formatCode="_ * #,##0_ ;_ * \-#,##0_ ;_ * &quot;-&quot;_ ;_ @_ "/>
    <numFmt numFmtId="215" formatCode="_ * #,##0.00_ ;_ * \-#,##0.00_ ;_ * &quot;-&quot;??_ ;_ @_ "/>
    <numFmt numFmtId="216" formatCode="_-* #,##0\ _F_-;\-* #,##0\ _F_-;_-* &quot;-&quot;\ _F_-;_-@_-"/>
    <numFmt numFmtId="217" formatCode="_-* #,##0.00\ _F_-;\-* #,##0.00\ _F_-;_-* &quot;-&quot;??\ _F_-;_-@_-"/>
    <numFmt numFmtId="218" formatCode="&quot;$&quot;#,##0_);\(&quot;$&quot;#,##0\)"/>
    <numFmt numFmtId="219" formatCode="&quot;$&quot;#,##0.00_);\(&quot;$&quot;#,##0.00\)"/>
    <numFmt numFmtId="220" formatCode="_-* #,##0\ &quot;F&quot;_-;\-* #,##0\ &quot;F&quot;_-;_-* &quot;-&quot;\ &quot;F&quot;_-;_-@_-"/>
    <numFmt numFmtId="221" formatCode="_-* #,##0.00\ &quot;F&quot;_-;\-* #,##0.00\ &quot;F&quot;_-;_-* &quot;-&quot;??\ &quot;F&quot;_-;_-@_-"/>
    <numFmt numFmtId="222" formatCode="&quot;Rp&quot;\ #,##0;[Red]&quot;Rp&quot;\ \-#,##0"/>
    <numFmt numFmtId="223" formatCode="&quot;R$ &quot;0.00\ &quot;Increase&quot;;&quot;R$ &quot;0.00\ &quot;Decrease&quot;;"/>
    <numFmt numFmtId="224" formatCode="#,##0.0_);\(#,##0.0\)"/>
    <numFmt numFmtId="225" formatCode="&quot;R$ &quot;#,##0_);\(&quot;R$ &quot;#,##0\)"/>
    <numFmt numFmtId="226" formatCode="#,##0.0"/>
    <numFmt numFmtId="227" formatCode="#,##0\ &quot;DM&quot;;[Red]\-#,##0\ &quot;DM&quot;"/>
    <numFmt numFmtId="228" formatCode="#,##0.00\ &quot;DM&quot;;[Red]\-#,##0.00\ &quot;DM&quot;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S Serif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sz val="11"/>
      <color indexed="62"/>
      <name val="Calibri"/>
      <family val="2"/>
    </font>
    <font>
      <b/>
      <sz val="10"/>
      <color indexed="16"/>
      <name val="Tms Rmn"/>
    </font>
    <font>
      <sz val="9"/>
      <color indexed="10"/>
      <name val="Times New Roman"/>
      <family val="1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Arial"/>
      <family val="2"/>
    </font>
    <font>
      <b/>
      <u/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10"/>
      <color indexed="59"/>
      <name val="Arial"/>
      <family val="2"/>
    </font>
    <font>
      <sz val="9"/>
      <name val="Times New Roman"/>
      <family val="1"/>
    </font>
    <font>
      <b/>
      <i/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Verdana"/>
      <family val="2"/>
    </font>
    <font>
      <sz val="10"/>
      <color theme="1"/>
      <name val="Verdana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name val="Terminal"/>
      <family val="3"/>
      <charset val="255"/>
    </font>
    <font>
      <b/>
      <sz val="18"/>
      <color indexed="62"/>
      <name val="Cambria"/>
      <family val="2"/>
    </font>
    <font>
      <b/>
      <sz val="9"/>
      <color indexed="17"/>
      <name val="Times New Roman"/>
      <family val="1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12"/>
      <color indexed="24"/>
      <name val="Arial"/>
      <family val="2"/>
    </font>
    <font>
      <sz val="8"/>
      <color indexed="12"/>
      <name val="Tms Rmn"/>
    </font>
    <font>
      <sz val="10"/>
      <name val="Tms Rmn"/>
    </font>
    <font>
      <b/>
      <i/>
      <sz val="12"/>
      <color indexed="39"/>
      <name val="Arial"/>
      <family val="2"/>
    </font>
    <font>
      <u/>
      <sz val="11"/>
      <color theme="10"/>
      <name val="Calibri"/>
      <family val="2"/>
    </font>
    <font>
      <sz val="10"/>
      <color indexed="17"/>
      <name val="Arial"/>
      <family val="2"/>
    </font>
    <font>
      <sz val="11"/>
      <color theme="1"/>
      <name val="Calibri"/>
      <family val="2"/>
    </font>
    <font>
      <b/>
      <sz val="10"/>
      <color indexed="17"/>
      <name val="Arial"/>
      <family val="2"/>
    </font>
    <font>
      <sz val="8"/>
      <color indexed="17"/>
      <name val="Tms Rmn"/>
    </font>
    <font>
      <sz val="8"/>
      <color indexed="14"/>
      <name val="Tms Rmn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"/>
      <name val="Times New Roman"/>
      <family val="1"/>
    </font>
    <font>
      <sz val="10"/>
      <name val="MS Serif"/>
      <family val="1"/>
    </font>
    <font>
      <b/>
      <u/>
      <sz val="10"/>
      <name val="Tms Rmn"/>
    </font>
    <font>
      <sz val="9"/>
      <color theme="1" tint="0.14990691854609822"/>
      <name val="Calibri"/>
      <family val="2"/>
      <scheme val="minor"/>
    </font>
    <font>
      <b/>
      <sz val="9"/>
      <color theme="4" tint="0.39985351115451523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28"/>
      <color theme="4"/>
      <name val="Cambria"/>
      <family val="2"/>
      <scheme val="major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0"/>
      <color theme="0"/>
      <name val="Cambria"/>
      <family val="2"/>
      <scheme val="maj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32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name val="Times New Roman"/>
      <family val="1"/>
    </font>
    <font>
      <sz val="8"/>
      <name val="SwitzerlandLight"/>
    </font>
    <font>
      <sz val="7"/>
      <name val="Times New Roman"/>
      <family val="1"/>
    </font>
    <font>
      <b/>
      <sz val="10"/>
      <color indexed="8"/>
      <name val="Times New Roman"/>
      <family val="1"/>
    </font>
    <font>
      <sz val="14"/>
      <name val="Arial"/>
      <family val="2"/>
    </font>
    <font>
      <b/>
      <sz val="8"/>
      <name val="Arial"/>
      <family val="2"/>
    </font>
    <font>
      <sz val="11"/>
      <name val="Tms Rmn"/>
    </font>
    <font>
      <sz val="10"/>
      <name val="BERNHARD"/>
    </font>
    <font>
      <sz val="10"/>
      <name val="Helv"/>
    </font>
    <font>
      <b/>
      <u/>
      <sz val="8"/>
      <name val="Arial"/>
      <family val="2"/>
    </font>
    <font>
      <b/>
      <sz val="9"/>
      <color indexed="45"/>
      <name val="RotisSansSerif"/>
    </font>
    <font>
      <sz val="8"/>
      <color indexed="44"/>
      <name val="RotisSansSerif Bold"/>
    </font>
    <font>
      <b/>
      <sz val="16"/>
      <name val="Arial"/>
      <family val="2"/>
    </font>
    <font>
      <sz val="10"/>
      <color indexed="8"/>
      <name val="MS Sans Serif"/>
      <family val="2"/>
    </font>
    <font>
      <u/>
      <sz val="8.8000000000000007"/>
      <color theme="10"/>
      <name val="Calibri"/>
      <family val="2"/>
    </font>
    <font>
      <u/>
      <sz val="7.7"/>
      <color theme="10"/>
      <name val="Calibri"/>
      <family val="2"/>
    </font>
    <font>
      <sz val="10"/>
      <color indexed="12"/>
      <name val="Arial"/>
      <family val="2"/>
    </font>
    <font>
      <b/>
      <sz val="12"/>
      <color indexed="8"/>
      <name val="Times New Roman"/>
      <family val="1"/>
    </font>
    <font>
      <sz val="7"/>
      <name val="Small Fonts"/>
      <family val="2"/>
    </font>
    <font>
      <sz val="10"/>
      <name val="Courier"/>
      <family val="3"/>
    </font>
    <font>
      <b/>
      <sz val="24"/>
      <name val="Helv"/>
    </font>
    <font>
      <sz val="10"/>
      <name val="Frutiger 45 Light"/>
      <family val="2"/>
    </font>
    <font>
      <sz val="11"/>
      <color indexed="8"/>
      <name val="Verdana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39"/>
      <name val="Arial"/>
      <family val="2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color indexed="39"/>
      <name val="Arial"/>
      <family val="2"/>
    </font>
    <font>
      <sz val="20"/>
      <color indexed="9"/>
      <name val="Comic Sans MS"/>
      <family val="4"/>
    </font>
    <font>
      <sz val="10"/>
      <color indexed="10"/>
      <name val="Arial"/>
      <family val="2"/>
    </font>
    <font>
      <sz val="11"/>
      <color indexed="44"/>
      <name val="RotisSansSerif Bold"/>
    </font>
    <font>
      <b/>
      <sz val="10"/>
      <color indexed="16"/>
      <name val="Courier"/>
      <family val="3"/>
    </font>
    <font>
      <b/>
      <sz val="10"/>
      <name val="RotisSansSerif"/>
    </font>
    <font>
      <sz val="10"/>
      <name val="RotisSansSerif"/>
    </font>
    <font>
      <sz val="8"/>
      <name val="RotisSansSerif"/>
    </font>
    <font>
      <b/>
      <sz val="14"/>
      <name val="RotisSansSerif"/>
    </font>
    <font>
      <sz val="10"/>
      <color indexed="32"/>
      <name val="Arial"/>
      <family val="2"/>
    </font>
    <font>
      <b/>
      <sz val="10"/>
      <color indexed="45"/>
      <name val="RotisSansSerif"/>
    </font>
    <font>
      <sz val="11"/>
      <name val="RotisSansSerif"/>
    </font>
    <font>
      <b/>
      <i/>
      <sz val="12"/>
      <color indexed="8"/>
      <name val="Arial"/>
      <family val="2"/>
    </font>
    <font>
      <i/>
      <sz val="14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2"/>
      <color rgb="FF006600"/>
      <name val="Calibri"/>
      <family val="2"/>
      <scheme val="minor"/>
    </font>
  </fonts>
  <fills count="8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31"/>
      </patternFill>
    </fill>
    <fill>
      <patternFill patternType="solid">
        <fgColor indexed="56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0"/>
      </patternFill>
    </fill>
    <fill>
      <patternFill patternType="solid">
        <fgColor indexed="41"/>
        <bgColor indexed="64"/>
      </patternFill>
    </fill>
    <fill>
      <patternFill patternType="solid">
        <fgColor theme="3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22"/>
        <bgColor indexed="19"/>
      </patternFill>
    </fill>
    <fill>
      <patternFill patternType="solid">
        <fgColor indexed="9"/>
        <bgColor indexed="8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19"/>
        <bgColor indexed="19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2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51"/>
        <bgColor indexed="19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48"/>
      </patternFill>
    </fill>
    <fill>
      <patternFill patternType="solid">
        <fgColor indexed="54"/>
        <bgColor indexed="64"/>
      </patternFill>
    </fill>
    <fill>
      <patternFill patternType="solid">
        <fgColor indexed="41"/>
      </patternFill>
    </fill>
    <fill>
      <patternFill patternType="solid">
        <fgColor indexed="12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44"/>
      </patternFill>
    </fill>
    <fill>
      <patternFill patternType="solid">
        <fgColor indexed="16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6"/>
        <bgColor indexed="47"/>
      </patternFill>
    </fill>
    <fill>
      <patternFill patternType="solid">
        <fgColor indexed="9"/>
        <bgColor indexed="43"/>
      </patternFill>
    </fill>
    <fill>
      <patternFill patternType="solid">
        <fgColor indexed="2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6635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48"/>
      </left>
      <right style="thin">
        <color indexed="48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44"/>
      </top>
      <bottom/>
      <diagonal/>
    </border>
    <border>
      <left/>
      <right/>
      <top/>
      <bottom style="hair">
        <color indexed="9"/>
      </bottom>
      <diagonal/>
    </border>
    <border>
      <left/>
      <right/>
      <top/>
      <bottom style="thin">
        <color indexed="24"/>
      </bottom>
      <diagonal/>
    </border>
    <border>
      <left/>
      <right/>
      <top/>
      <bottom style="thin">
        <color indexed="44"/>
      </bottom>
      <diagonal/>
    </border>
    <border>
      <left/>
      <right/>
      <top style="thin">
        <color auto="1"/>
      </top>
      <bottom/>
      <diagonal/>
    </border>
    <border>
      <left style="thin">
        <color rgb="FF006600"/>
      </left>
      <right style="thin">
        <color rgb="FF006600"/>
      </right>
      <top style="thin">
        <color rgb="FF006600"/>
      </top>
      <bottom style="thin">
        <color rgb="FF0066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057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6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20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166" fontId="8" fillId="0" borderId="0" applyFont="0" applyFill="0" applyBorder="0" applyAlignment="0" applyProtection="0"/>
    <xf numFmtId="0" fontId="9" fillId="10" borderId="0" applyNumberFormat="0" applyBorder="0" applyAlignment="0" applyProtection="0"/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3" fillId="24" borderId="3" applyNumberFormat="0" applyAlignment="0" applyProtection="0"/>
    <xf numFmtId="0" fontId="15" fillId="0" borderId="0">
      <protection locked="0"/>
    </xf>
    <xf numFmtId="167" fontId="3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1" applyFont="0" applyFill="0" applyBorder="0" applyAlignment="0" applyProtection="0"/>
    <xf numFmtId="168" fontId="18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71" fontId="15" fillId="0" borderId="0">
      <protection locked="0"/>
    </xf>
    <xf numFmtId="0" fontId="10" fillId="6" borderId="0" applyNumberFormat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172" fontId="17" fillId="0" borderId="1" applyFont="0" applyFill="0" applyBorder="0" applyAlignment="0" applyProtection="0"/>
    <xf numFmtId="0" fontId="16" fillId="11" borderId="2" applyNumberFormat="0" applyAlignment="0" applyProtection="0"/>
    <xf numFmtId="173" fontId="27" fillId="27" borderId="0" applyFont="0" applyFill="0" applyBorder="0" applyAlignment="0" applyProtection="0">
      <alignment horizontal="center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0" fontId="28" fillId="0" borderId="9" applyNumberFormat="0" applyFill="0" applyAlignment="0" applyProtection="0"/>
    <xf numFmtId="49" fontId="2" fillId="0" borderId="10" applyNumberFormat="0" applyProtection="0">
      <alignment horizontal="center" vertical="center"/>
    </xf>
    <xf numFmtId="0" fontId="29" fillId="28" borderId="0">
      <protection locked="0"/>
    </xf>
    <xf numFmtId="17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5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8" fontId="31" fillId="29" borderId="1">
      <alignment vertical="center"/>
    </xf>
    <xf numFmtId="179" fontId="30" fillId="0" borderId="0"/>
    <xf numFmtId="180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3" fillId="1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82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36" fillId="4" borderId="11" applyNumberFormat="0" applyFont="0" applyAlignment="0" applyProtection="0"/>
    <xf numFmtId="0" fontId="37" fillId="22" borderId="12" applyNumberFormat="0" applyAlignment="0" applyProtection="0"/>
    <xf numFmtId="9" fontId="1" fillId="0" borderId="0" applyFont="0" applyFill="0" applyBorder="0" applyAlignment="0" applyProtection="0"/>
    <xf numFmtId="183" fontId="15" fillId="0" borderId="0">
      <protection locked="0"/>
    </xf>
    <xf numFmtId="184" fontId="15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185" fontId="30" fillId="0" borderId="0" applyFont="0" applyFill="0" applyBorder="0" applyAlignment="0" applyProtection="0"/>
    <xf numFmtId="186" fontId="30" fillId="0" borderId="0" applyFont="0" applyFill="0" applyBorder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38" fontId="3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40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0" fontId="46" fillId="0" borderId="0">
      <protection locked="0"/>
    </xf>
    <xf numFmtId="190" fontId="46" fillId="0" borderId="0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0" fontId="15" fillId="0" borderId="19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91" fontId="30" fillId="0" borderId="0" applyFont="0" applyFill="0" applyBorder="0" applyAlignment="0" applyProtection="0"/>
    <xf numFmtId="0" fontId="3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0"/>
    <xf numFmtId="0" fontId="48" fillId="0" borderId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3" fontId="49" fillId="0" borderId="0" applyFont="0" applyFill="0" applyBorder="0" applyAlignment="0" applyProtection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3" fontId="49" fillId="0" borderId="0" applyFont="0" applyFill="0" applyBorder="0" applyAlignment="0" applyProtection="0"/>
    <xf numFmtId="194" fontId="51" fillId="0" borderId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48" fillId="0" borderId="0"/>
    <xf numFmtId="0" fontId="48" fillId="0" borderId="0"/>
    <xf numFmtId="2" fontId="49" fillId="0" borderId="0" applyFont="0" applyFill="0" applyBorder="0" applyAlignment="0" applyProtection="0"/>
    <xf numFmtId="0" fontId="52" fillId="33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95" fontId="54" fillId="0" borderId="20" applyBorder="0"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55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6" fillId="0" borderId="0">
      <alignment horizontal="right"/>
    </xf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54" fillId="0" borderId="22" applyNumberFormat="0" applyAlignment="0"/>
    <xf numFmtId="37" fontId="50" fillId="0" borderId="0"/>
    <xf numFmtId="38" fontId="57" fillId="0" borderId="0"/>
    <xf numFmtId="182" fontId="55" fillId="0" borderId="0"/>
    <xf numFmtId="182" fontId="1" fillId="0" borderId="0"/>
    <xf numFmtId="0" fontId="1" fillId="0" borderId="0"/>
    <xf numFmtId="0" fontId="1" fillId="0" borderId="0"/>
    <xf numFmtId="182" fontId="1" fillId="0" borderId="0"/>
    <xf numFmtId="0" fontId="1" fillId="0" borderId="0"/>
    <xf numFmtId="0" fontId="1" fillId="0" borderId="0"/>
    <xf numFmtId="0" fontId="4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58" fillId="0" borderId="0"/>
    <xf numFmtId="38" fontId="2" fillId="0" borderId="0" applyFill="0" applyBorder="0" applyAlignment="0" applyProtection="0">
      <alignment horizontal="right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0" fontId="3" fillId="35" borderId="0"/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196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38" fontId="3" fillId="33" borderId="25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4" fontId="63" fillId="0" borderId="0" applyNumberFormat="0" applyFill="0" applyBorder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64" fillId="0" borderId="1" applyNumberFormat="0" applyFill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5" fillId="0" borderId="0"/>
    <xf numFmtId="198" fontId="66" fillId="0" borderId="0" applyFill="0" applyBorder="0" applyProtection="0">
      <alignment horizontal="right"/>
    </xf>
    <xf numFmtId="0" fontId="67" fillId="0" borderId="0" applyNumberFormat="0" applyFill="0" applyBorder="0" applyAlignment="0" applyProtection="0"/>
    <xf numFmtId="0" fontId="68" fillId="0" borderId="32" applyNumberFormat="0" applyFill="0" applyProtection="0">
      <alignment horizontal="right"/>
    </xf>
    <xf numFmtId="0" fontId="69" fillId="0" borderId="0" applyFill="0" applyBorder="0" applyProtection="0">
      <alignment horizontal="right" vertical="top"/>
    </xf>
    <xf numFmtId="198" fontId="70" fillId="40" borderId="0" applyNumberFormat="0" applyFont="0" applyBorder="0" applyAlignment="0" applyProtection="0">
      <alignment horizontal="center"/>
    </xf>
    <xf numFmtId="0" fontId="71" fillId="0" borderId="0">
      <alignment vertical="center"/>
    </xf>
    <xf numFmtId="0" fontId="72" fillId="41" borderId="0" applyNumberFormat="0" applyBorder="0" applyProtection="0">
      <alignment horizontal="center" vertical="center"/>
    </xf>
    <xf numFmtId="0" fontId="71" fillId="0" borderId="0" applyFill="0" applyBorder="0" applyProtection="0">
      <alignment horizontal="right" vertical="center"/>
    </xf>
    <xf numFmtId="165" fontId="3" fillId="0" borderId="0" applyFont="0" applyFill="0" applyBorder="0" applyAlignment="0" applyProtection="0"/>
    <xf numFmtId="200" fontId="3" fillId="0" borderId="0"/>
    <xf numFmtId="202" fontId="48" fillId="0" borderId="0" applyFont="0" applyFill="0" applyBorder="0" applyAlignment="0" applyProtection="0"/>
    <xf numFmtId="203" fontId="48" fillId="0" borderId="0" applyFont="0" applyFill="0" applyBorder="0" applyAlignment="0" applyProtection="0"/>
    <xf numFmtId="3" fontId="60" fillId="48" borderId="0">
      <alignment horizontal="left"/>
    </xf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170" fontId="6" fillId="7" borderId="0" applyNumberFormat="0" applyBorder="0" applyAlignment="0" applyProtection="0"/>
    <xf numFmtId="17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170" fontId="6" fillId="8" borderId="0" applyNumberFormat="0" applyBorder="0" applyAlignment="0" applyProtection="0"/>
    <xf numFmtId="17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170" fontId="6" fillId="9" borderId="0" applyNumberFormat="0" applyBorder="0" applyAlignment="0" applyProtection="0"/>
    <xf numFmtId="17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170" fontId="6" fillId="6" borderId="0" applyNumberFormat="0" applyBorder="0" applyAlignment="0" applyProtection="0"/>
    <xf numFmtId="17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170" fontId="6" fillId="5" borderId="0" applyNumberFormat="0" applyBorder="0" applyAlignment="0" applyProtection="0"/>
    <xf numFmtId="170" fontId="6" fillId="5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3" fontId="62" fillId="33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170" fontId="6" fillId="3" borderId="0" applyNumberFormat="0" applyBorder="0" applyAlignment="0" applyProtection="0"/>
    <xf numFmtId="17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170" fontId="6" fillId="12" borderId="0" applyNumberFormat="0" applyBorder="0" applyAlignment="0" applyProtection="0"/>
    <xf numFmtId="17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170" fontId="6" fillId="13" borderId="0" applyNumberFormat="0" applyBorder="0" applyAlignment="0" applyProtection="0"/>
    <xf numFmtId="170" fontId="6" fillId="13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170" fontId="7" fillId="15" borderId="0" applyNumberFormat="0" applyBorder="0" applyAlignment="0" applyProtection="0"/>
    <xf numFmtId="17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170" fontId="7" fillId="3" borderId="0" applyNumberFormat="0" applyBorder="0" applyAlignment="0" applyProtection="0"/>
    <xf numFmtId="17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170" fontId="7" fillId="12" borderId="0" applyNumberFormat="0" applyBorder="0" applyAlignment="0" applyProtection="0"/>
    <xf numFmtId="17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70" fontId="7" fillId="18" borderId="0" applyNumberFormat="0" applyBorder="0" applyAlignment="0" applyProtection="0"/>
    <xf numFmtId="170" fontId="7" fillId="18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82" fillId="33" borderId="0">
      <alignment horizontal="left"/>
    </xf>
    <xf numFmtId="3" fontId="83" fillId="49" borderId="0">
      <alignment horizontal="left"/>
    </xf>
    <xf numFmtId="200" fontId="6" fillId="50" borderId="0" applyNumberFormat="0" applyBorder="0" applyAlignment="0" applyProtection="0"/>
    <xf numFmtId="200" fontId="6" fillId="50" borderId="0" applyNumberFormat="0" applyBorder="0" applyAlignment="0" applyProtection="0"/>
    <xf numFmtId="200" fontId="7" fillId="5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170" fontId="7" fillId="25" borderId="0" applyNumberFormat="0" applyBorder="0" applyAlignment="0" applyProtection="0"/>
    <xf numFmtId="170" fontId="7" fillId="25" borderId="0" applyNumberFormat="0" applyBorder="0" applyAlignment="0" applyProtection="0"/>
    <xf numFmtId="200" fontId="6" fillId="52" borderId="0" applyNumberFormat="0" applyBorder="0" applyAlignment="0" applyProtection="0"/>
    <xf numFmtId="200" fontId="6" fillId="53" borderId="0" applyNumberFormat="0" applyBorder="0" applyAlignment="0" applyProtection="0"/>
    <xf numFmtId="200" fontId="7" fillId="54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170" fontId="7" fillId="21" borderId="0" applyNumberFormat="0" applyBorder="0" applyAlignment="0" applyProtection="0"/>
    <xf numFmtId="170" fontId="7" fillId="21" borderId="0" applyNumberFormat="0" applyBorder="0" applyAlignment="0" applyProtection="0"/>
    <xf numFmtId="200" fontId="6" fillId="52" borderId="0" applyNumberFormat="0" applyBorder="0" applyAlignment="0" applyProtection="0"/>
    <xf numFmtId="200" fontId="6" fillId="55" borderId="0" applyNumberFormat="0" applyBorder="0" applyAlignment="0" applyProtection="0"/>
    <xf numFmtId="200" fontId="7" fillId="53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170" fontId="7" fillId="26" borderId="0" applyNumberFormat="0" applyBorder="0" applyAlignment="0" applyProtection="0"/>
    <xf numFmtId="170" fontId="7" fillId="26" borderId="0" applyNumberFormat="0" applyBorder="0" applyAlignment="0" applyProtection="0"/>
    <xf numFmtId="200" fontId="6" fillId="50" borderId="0" applyNumberFormat="0" applyBorder="0" applyAlignment="0" applyProtection="0"/>
    <xf numFmtId="200" fontId="6" fillId="53" borderId="0" applyNumberFormat="0" applyBorder="0" applyAlignment="0" applyProtection="0"/>
    <xf numFmtId="200" fontId="7" fillId="53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200" fontId="6" fillId="56" borderId="0" applyNumberFormat="0" applyBorder="0" applyAlignment="0" applyProtection="0"/>
    <xf numFmtId="200" fontId="6" fillId="50" borderId="0" applyNumberFormat="0" applyBorder="0" applyAlignment="0" applyProtection="0"/>
    <xf numFmtId="200" fontId="7" fillId="5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200" fontId="6" fillId="52" borderId="0" applyNumberFormat="0" applyBorder="0" applyAlignment="0" applyProtection="0"/>
    <xf numFmtId="200" fontId="6" fillId="57" borderId="0" applyNumberFormat="0" applyBorder="0" applyAlignment="0" applyProtection="0"/>
    <xf numFmtId="200" fontId="7" fillId="5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170" fontId="7" fillId="14" borderId="0" applyNumberFormat="0" applyBorder="0" applyAlignment="0" applyProtection="0"/>
    <xf numFmtId="170" fontId="7" fillId="14" borderId="0" applyNumberFormat="0" applyBorder="0" applyAlignment="0" applyProtection="0"/>
    <xf numFmtId="0" fontId="3" fillId="0" borderId="0"/>
    <xf numFmtId="3" fontId="61" fillId="58" borderId="34">
      <alignment horizontal="center"/>
    </xf>
    <xf numFmtId="3" fontId="84" fillId="59" borderId="47">
      <alignment horizontal="center"/>
    </xf>
    <xf numFmtId="200" fontId="85" fillId="35" borderId="52" applyBorder="0" applyProtection="0">
      <alignment horizontal="left" vertical="center" indent="4"/>
      <protection locked="0"/>
    </xf>
    <xf numFmtId="0" fontId="85" fillId="35" borderId="52" applyBorder="0" applyProtection="0">
      <alignment horizontal="left" vertical="center" indent="4"/>
      <protection locked="0"/>
    </xf>
    <xf numFmtId="170" fontId="85" fillId="35" borderId="52" applyBorder="0" applyProtection="0">
      <alignment horizontal="left" vertical="center" indent="4"/>
      <protection locked="0"/>
    </xf>
    <xf numFmtId="0" fontId="9" fillId="8" borderId="0" applyNumberFormat="0" applyBorder="0" applyAlignment="0" applyProtection="0"/>
    <xf numFmtId="170" fontId="9" fillId="8" borderId="0" applyNumberFormat="0" applyBorder="0" applyAlignment="0" applyProtection="0"/>
    <xf numFmtId="170" fontId="9" fillId="8" borderId="0" applyNumberFormat="0" applyBorder="0" applyAlignment="0" applyProtection="0"/>
    <xf numFmtId="0" fontId="86" fillId="0" borderId="33" applyNumberFormat="0" applyFill="0" applyAlignment="0" applyProtection="0"/>
    <xf numFmtId="0" fontId="86" fillId="0" borderId="33" applyNumberFormat="0" applyFill="0" applyAlignment="0" applyProtection="0"/>
    <xf numFmtId="0" fontId="86" fillId="0" borderId="33" applyNumberFormat="0" applyFill="0" applyAlignment="0" applyProtection="0"/>
    <xf numFmtId="170" fontId="86" fillId="0" borderId="33" applyNumberFormat="0" applyFill="0" applyAlignment="0" applyProtection="0"/>
    <xf numFmtId="170" fontId="86" fillId="0" borderId="33" applyNumberFormat="0" applyFill="0" applyAlignment="0" applyProtection="0"/>
    <xf numFmtId="0" fontId="86" fillId="0" borderId="33" applyNumberFormat="0" applyFill="0" applyAlignment="0" applyProtection="0"/>
    <xf numFmtId="204" fontId="87" fillId="0" borderId="0">
      <alignment vertical="top"/>
    </xf>
    <xf numFmtId="204" fontId="88" fillId="0" borderId="0">
      <alignment horizontal="right"/>
    </xf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0" fontId="77" fillId="43" borderId="0" applyNumberFormat="0" applyBorder="0" applyAlignment="0" applyProtection="0"/>
    <xf numFmtId="205" fontId="48" fillId="0" borderId="0" applyFont="0" applyFill="0" applyBorder="0" applyAlignment="0" applyProtection="0"/>
    <xf numFmtId="0" fontId="89" fillId="0" borderId="0"/>
    <xf numFmtId="0" fontId="89" fillId="0" borderId="0"/>
    <xf numFmtId="170" fontId="89" fillId="0" borderId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6" fontId="90" fillId="0" borderId="46">
      <alignment horizontal="left" vertical="center"/>
      <protection locked="0"/>
    </xf>
    <xf numFmtId="207" fontId="2" fillId="0" borderId="0"/>
    <xf numFmtId="207" fontId="2" fillId="0" borderId="0"/>
    <xf numFmtId="207" fontId="2" fillId="0" borderId="0"/>
    <xf numFmtId="207" fontId="2" fillId="60" borderId="0"/>
    <xf numFmtId="207" fontId="2" fillId="60" borderId="0"/>
    <xf numFmtId="207" fontId="2" fillId="60" borderId="0"/>
    <xf numFmtId="207" fontId="2" fillId="1" borderId="0"/>
    <xf numFmtId="207" fontId="2" fillId="1" borderId="0"/>
    <xf numFmtId="207" fontId="2" fillId="1" borderId="0"/>
    <xf numFmtId="200" fontId="13" fillId="24" borderId="3" applyNumberFormat="0" applyAlignment="0" applyProtection="0"/>
    <xf numFmtId="200" fontId="13" fillId="24" borderId="3" applyNumberFormat="0" applyAlignment="0" applyProtection="0"/>
    <xf numFmtId="200" fontId="13" fillId="24" borderId="3" applyNumberFormat="0" applyAlignment="0" applyProtection="0"/>
    <xf numFmtId="200" fontId="13" fillId="24" borderId="3" applyNumberFormat="0" applyAlignment="0" applyProtection="0"/>
    <xf numFmtId="0" fontId="75" fillId="46" borderId="50" applyNumberFormat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0" fontId="80" fillId="0" borderId="49" applyNumberFormat="0" applyFill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170" fontId="13" fillId="24" borderId="3" applyNumberFormat="0" applyAlignment="0" applyProtection="0"/>
    <xf numFmtId="170" fontId="13" fillId="24" borderId="3" applyNumberFormat="0" applyAlignment="0" applyProtection="0"/>
    <xf numFmtId="208" fontId="91" fillId="0" borderId="41"/>
    <xf numFmtId="209" fontId="2" fillId="0" borderId="41"/>
    <xf numFmtId="209" fontId="2" fillId="0" borderId="41"/>
    <xf numFmtId="209" fontId="2" fillId="0" borderId="41"/>
    <xf numFmtId="210" fontId="92" fillId="0" borderId="0"/>
    <xf numFmtId="210" fontId="92" fillId="0" borderId="0"/>
    <xf numFmtId="210" fontId="92" fillId="0" borderId="0"/>
    <xf numFmtId="210" fontId="92" fillId="0" borderId="0"/>
    <xf numFmtId="210" fontId="92" fillId="0" borderId="0"/>
    <xf numFmtId="210" fontId="92" fillId="0" borderId="0"/>
    <xf numFmtId="210" fontId="92" fillId="0" borderId="0"/>
    <xf numFmtId="210" fontId="92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00" fontId="93" fillId="0" borderId="0"/>
    <xf numFmtId="200" fontId="94" fillId="0" borderId="0"/>
    <xf numFmtId="200" fontId="93" fillId="0" borderId="0"/>
    <xf numFmtId="200" fontId="94" fillId="0" borderId="0"/>
    <xf numFmtId="200" fontId="2" fillId="0" borderId="0"/>
    <xf numFmtId="0" fontId="2" fillId="0" borderId="0"/>
    <xf numFmtId="0" fontId="2" fillId="0" borderId="0"/>
    <xf numFmtId="170" fontId="2" fillId="0" borderId="0"/>
    <xf numFmtId="200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200" fontId="2" fillId="0" borderId="0">
      <alignment horizontal="center"/>
    </xf>
    <xf numFmtId="0" fontId="2" fillId="0" borderId="0">
      <alignment horizontal="center"/>
    </xf>
    <xf numFmtId="0" fontId="2" fillId="0" borderId="0">
      <alignment horizontal="center"/>
    </xf>
    <xf numFmtId="170" fontId="2" fillId="0" borderId="0">
      <alignment horizontal="center"/>
    </xf>
    <xf numFmtId="200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200" fontId="2" fillId="1" borderId="0">
      <alignment horizontal="center"/>
    </xf>
    <xf numFmtId="0" fontId="2" fillId="1" borderId="0">
      <alignment horizontal="center"/>
    </xf>
    <xf numFmtId="0" fontId="2" fillId="1" borderId="0">
      <alignment horizontal="center"/>
    </xf>
    <xf numFmtId="170" fontId="2" fillId="1" borderId="0">
      <alignment horizontal="center"/>
    </xf>
    <xf numFmtId="200" fontId="95" fillId="0" borderId="0"/>
    <xf numFmtId="0" fontId="95" fillId="0" borderId="0"/>
    <xf numFmtId="170" fontId="95" fillId="0" borderId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5" fillId="0" borderId="0">
      <protection locked="0"/>
    </xf>
    <xf numFmtId="170" fontId="15" fillId="0" borderId="0">
      <protection locked="0"/>
    </xf>
    <xf numFmtId="170" fontId="15" fillId="0" borderId="0">
      <protection locked="0"/>
    </xf>
    <xf numFmtId="17" fontId="96" fillId="61" borderId="0">
      <alignment horizontal="right"/>
    </xf>
    <xf numFmtId="17" fontId="97" fillId="0" borderId="0">
      <alignment horizontal="right" vertical="center"/>
    </xf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200" fontId="15" fillId="0" borderId="0">
      <protection locked="0"/>
    </xf>
    <xf numFmtId="3" fontId="98" fillId="62" borderId="47">
      <alignment horizontal="center"/>
    </xf>
    <xf numFmtId="200" fontId="47" fillId="63" borderId="0" applyNumberFormat="0" applyBorder="0" applyAlignment="0" applyProtection="0"/>
    <xf numFmtId="200" fontId="47" fillId="64" borderId="0" applyNumberFormat="0" applyBorder="0" applyAlignment="0" applyProtection="0"/>
    <xf numFmtId="200" fontId="47" fillId="65" borderId="0" applyNumberFormat="0" applyBorder="0" applyAlignment="0" applyProtection="0"/>
    <xf numFmtId="200" fontId="46" fillId="0" borderId="0">
      <protection locked="0"/>
    </xf>
    <xf numFmtId="200" fontId="46" fillId="0" borderId="0">
      <protection locked="0"/>
    </xf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0" fontId="79" fillId="45" borderId="48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33" applyFont="0" applyFill="0" applyBorder="0" applyAlignment="0" applyProtection="0"/>
    <xf numFmtId="0" fontId="99" fillId="0" borderId="0" applyNumberFormat="0" applyFill="0" applyBorder="0" applyAlignment="0" applyProtection="0"/>
    <xf numFmtId="170" fontId="99" fillId="0" borderId="0" applyNumberForma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6" fillId="0" borderId="0"/>
    <xf numFmtId="0" fontId="6" fillId="0" borderId="0"/>
    <xf numFmtId="0" fontId="6" fillId="0" borderId="0"/>
    <xf numFmtId="170" fontId="6" fillId="0" borderId="0"/>
    <xf numFmtId="170" fontId="6" fillId="0" borderId="0"/>
    <xf numFmtId="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0" fontId="10" fillId="9" borderId="0" applyNumberFormat="0" applyBorder="0" applyAlignment="0" applyProtection="0"/>
    <xf numFmtId="170" fontId="10" fillId="9" borderId="0" applyNumberFormat="0" applyBorder="0" applyAlignment="0" applyProtection="0"/>
    <xf numFmtId="170" fontId="10" fillId="9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164" fontId="61" fillId="0" borderId="0"/>
    <xf numFmtId="164" fontId="61" fillId="0" borderId="0"/>
    <xf numFmtId="164" fontId="61" fillId="0" borderId="0"/>
    <xf numFmtId="164" fontId="61" fillId="0" borderId="0"/>
    <xf numFmtId="200" fontId="84" fillId="0" borderId="37" applyNumberFormat="0" applyAlignment="0" applyProtection="0">
      <alignment horizontal="left" vertical="center"/>
    </xf>
    <xf numFmtId="0" fontId="84" fillId="0" borderId="37" applyNumberFormat="0" applyAlignment="0" applyProtection="0">
      <alignment horizontal="left" vertical="center"/>
    </xf>
    <xf numFmtId="0" fontId="84" fillId="0" borderId="37" applyNumberFormat="0" applyAlignment="0" applyProtection="0">
      <alignment horizontal="left" vertical="center"/>
    </xf>
    <xf numFmtId="170" fontId="84" fillId="0" borderId="37" applyNumberFormat="0" applyAlignment="0" applyProtection="0">
      <alignment horizontal="left" vertical="center"/>
    </xf>
    <xf numFmtId="170" fontId="84" fillId="0" borderId="37" applyNumberFormat="0" applyAlignment="0" applyProtection="0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17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200" fontId="84" fillId="0" borderId="31">
      <alignment horizontal="left" vertical="center"/>
    </xf>
    <xf numFmtId="0" fontId="42" fillId="0" borderId="15" applyNumberFormat="0" applyFill="0" applyAlignment="0" applyProtection="0"/>
    <xf numFmtId="170" fontId="42" fillId="0" borderId="15" applyNumberFormat="0" applyFill="0" applyAlignment="0" applyProtection="0"/>
    <xf numFmtId="170" fontId="42" fillId="0" borderId="15" applyNumberFormat="0" applyFill="0" applyAlignment="0" applyProtection="0"/>
    <xf numFmtId="0" fontId="44" fillId="0" borderId="16" applyNumberFormat="0" applyFill="0" applyAlignment="0" applyProtection="0"/>
    <xf numFmtId="170" fontId="44" fillId="0" borderId="16" applyNumberFormat="0" applyFill="0" applyAlignment="0" applyProtection="0"/>
    <xf numFmtId="170" fontId="44" fillId="0" borderId="16" applyNumberFormat="0" applyFill="0" applyAlignment="0" applyProtection="0"/>
    <xf numFmtId="0" fontId="45" fillId="0" borderId="17" applyNumberFormat="0" applyFill="0" applyAlignment="0" applyProtection="0"/>
    <xf numFmtId="170" fontId="45" fillId="0" borderId="17" applyNumberFormat="0" applyFill="0" applyAlignment="0" applyProtection="0"/>
    <xf numFmtId="17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101" fillId="0" borderId="0" applyNumberFormat="0" applyFill="0" applyBorder="0" applyAlignment="0" applyProtection="0">
      <alignment vertical="top"/>
      <protection locked="0"/>
    </xf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172" fontId="17" fillId="0" borderId="33" applyFont="0" applyFill="0" applyBorder="0" applyAlignment="0" applyProtection="0"/>
    <xf numFmtId="4" fontId="3" fillId="66" borderId="0"/>
    <xf numFmtId="3" fontId="3" fillId="0" borderId="53">
      <protection locked="0"/>
    </xf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89" fontId="61" fillId="33" borderId="0"/>
    <xf numFmtId="0" fontId="102" fillId="0" borderId="0" applyNumberFormat="0" applyFill="0" applyBorder="0" applyAlignment="0">
      <protection locked="0"/>
    </xf>
    <xf numFmtId="0" fontId="102" fillId="0" borderId="0" applyNumberFormat="0" applyFill="0" applyBorder="0" applyAlignment="0">
      <protection locked="0"/>
    </xf>
    <xf numFmtId="170" fontId="102" fillId="0" borderId="0" applyNumberFormat="0" applyFill="0" applyBorder="0" applyAlignment="0">
      <protection locked="0"/>
    </xf>
    <xf numFmtId="195" fontId="54" fillId="0" borderId="20" applyBorder="0">
      <protection locked="0"/>
    </xf>
    <xf numFmtId="3" fontId="60" fillId="35" borderId="0" applyFill="0" applyBorder="0">
      <alignment vertical="center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49" fontId="2" fillId="0" borderId="54">
      <alignment horizontal="left" vertical="center" wrapText="1"/>
      <protection locked="0"/>
    </xf>
    <xf numFmtId="0" fontId="14" fillId="0" borderId="4" applyNumberFormat="0" applyFill="0" applyAlignment="0" applyProtection="0"/>
    <xf numFmtId="170" fontId="14" fillId="0" borderId="4" applyNumberFormat="0" applyFill="0" applyAlignment="0" applyProtection="0"/>
    <xf numFmtId="170" fontId="14" fillId="0" borderId="4" applyNumberFormat="0" applyFill="0" applyAlignment="0" applyProtection="0"/>
    <xf numFmtId="212" fontId="2" fillId="0" borderId="0"/>
    <xf numFmtId="212" fontId="2" fillId="0" borderId="0"/>
    <xf numFmtId="212" fontId="2" fillId="0" borderId="0"/>
    <xf numFmtId="213" fontId="2" fillId="0" borderId="0"/>
    <xf numFmtId="213" fontId="2" fillId="0" borderId="0"/>
    <xf numFmtId="213" fontId="2" fillId="0" borderId="0"/>
    <xf numFmtId="213" fontId="91" fillId="0" borderId="0"/>
    <xf numFmtId="214" fontId="3" fillId="0" borderId="0" applyFont="0" applyFill="0" applyBorder="0" applyAlignment="0" applyProtection="0"/>
    <xf numFmtId="215" fontId="3" fillId="0" borderId="0" applyFont="0" applyFill="0" applyBorder="0" applyAlignment="0" applyProtection="0"/>
    <xf numFmtId="216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218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200" fontId="15" fillId="0" borderId="0">
      <protection locked="0"/>
    </xf>
    <xf numFmtId="178" fontId="31" fillId="29" borderId="33">
      <alignment vertical="center"/>
    </xf>
    <xf numFmtId="3" fontId="103" fillId="48" borderId="33">
      <alignment horizontal="center"/>
    </xf>
    <xf numFmtId="3" fontId="103" fillId="48" borderId="33">
      <alignment horizontal="center"/>
    </xf>
    <xf numFmtId="4" fontId="2" fillId="60" borderId="0"/>
    <xf numFmtId="4" fontId="2" fillId="60" borderId="0"/>
    <xf numFmtId="4" fontId="2" fillId="60" borderId="0"/>
    <xf numFmtId="213" fontId="2" fillId="60" borderId="0"/>
    <xf numFmtId="213" fontId="2" fillId="60" borderId="0"/>
    <xf numFmtId="213" fontId="2" fillId="60" borderId="0"/>
    <xf numFmtId="4" fontId="2" fillId="1" borderId="0"/>
    <xf numFmtId="4" fontId="2" fillId="1" borderId="0"/>
    <xf numFmtId="4" fontId="2" fillId="1" borderId="0"/>
    <xf numFmtId="213" fontId="2" fillId="1" borderId="0"/>
    <xf numFmtId="213" fontId="2" fillId="1" borderId="0"/>
    <xf numFmtId="213" fontId="2" fillId="1" borderId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0" fontId="78" fillId="44" borderId="0" applyNumberFormat="0" applyBorder="0" applyAlignment="0" applyProtection="0"/>
    <xf numFmtId="0" fontId="32" fillId="11" borderId="0" applyNumberFormat="0" applyBorder="0" applyAlignment="0" applyProtection="0"/>
    <xf numFmtId="170" fontId="32" fillId="11" borderId="0" applyNumberFormat="0" applyBorder="0" applyAlignment="0" applyProtection="0"/>
    <xf numFmtId="170" fontId="32" fillId="11" borderId="0" applyNumberFormat="0" applyBorder="0" applyAlignment="0" applyProtection="0"/>
    <xf numFmtId="37" fontId="104" fillId="0" borderId="0"/>
    <xf numFmtId="200" fontId="105" fillId="0" borderId="0"/>
    <xf numFmtId="0" fontId="105" fillId="0" borderId="0"/>
    <xf numFmtId="170" fontId="105" fillId="0" borderId="0"/>
    <xf numFmtId="204" fontId="106" fillId="0" borderId="0"/>
    <xf numFmtId="222" fontId="3" fillId="0" borderId="0"/>
    <xf numFmtId="223" fontId="3" fillId="0" borderId="0"/>
    <xf numFmtId="223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0" fontId="3" fillId="0" borderId="0"/>
    <xf numFmtId="17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170" fontId="1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0" fontId="1" fillId="0" borderId="0"/>
    <xf numFmtId="200" fontId="3" fillId="0" borderId="0"/>
    <xf numFmtId="200" fontId="3" fillId="0" borderId="0"/>
    <xf numFmtId="0" fontId="3" fillId="0" borderId="0"/>
    <xf numFmtId="170" fontId="3" fillId="0" borderId="0"/>
    <xf numFmtId="200" fontId="1" fillId="0" borderId="0"/>
    <xf numFmtId="200" fontId="3" fillId="0" borderId="0"/>
    <xf numFmtId="200" fontId="3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170" fontId="3" fillId="0" borderId="0"/>
    <xf numFmtId="0" fontId="1" fillId="0" borderId="0"/>
    <xf numFmtId="0" fontId="1" fillId="0" borderId="0"/>
    <xf numFmtId="0" fontId="3" fillId="0" borderId="0"/>
    <xf numFmtId="200" fontId="3" fillId="0" borderId="0"/>
    <xf numFmtId="0" fontId="3" fillId="0" borderId="0"/>
    <xf numFmtId="182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200" fontId="1" fillId="0" borderId="0"/>
    <xf numFmtId="182" fontId="1" fillId="0" borderId="0"/>
    <xf numFmtId="182" fontId="3" fillId="0" borderId="0"/>
    <xf numFmtId="170" fontId="3" fillId="0" borderId="0"/>
    <xf numFmtId="200" fontId="3" fillId="0" borderId="0"/>
    <xf numFmtId="200" fontId="3" fillId="0" borderId="0"/>
    <xf numFmtId="200" fontId="3" fillId="0" borderId="0"/>
    <xf numFmtId="0" fontId="99" fillId="0" borderId="0"/>
    <xf numFmtId="170" fontId="3" fillId="0" borderId="0"/>
    <xf numFmtId="170" fontId="3" fillId="0" borderId="0"/>
    <xf numFmtId="170" fontId="1" fillId="0" borderId="0"/>
    <xf numFmtId="3" fontId="36" fillId="23" borderId="30"/>
    <xf numFmtId="3" fontId="36" fillId="23" borderId="30"/>
    <xf numFmtId="200" fontId="36" fillId="23" borderId="0"/>
    <xf numFmtId="0" fontId="36" fillId="23" borderId="0"/>
    <xf numFmtId="0" fontId="36" fillId="23" borderId="0"/>
    <xf numFmtId="170" fontId="36" fillId="23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0" fontId="1" fillId="47" borderId="5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0" fontId="107" fillId="0" borderId="33" applyNumberFormat="0">
      <alignment vertical="center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200" fontId="15" fillId="0" borderId="0">
      <protection locked="0"/>
    </xf>
    <xf numFmtId="38" fontId="109" fillId="0" borderId="0"/>
    <xf numFmtId="3" fontId="84" fillId="58" borderId="34">
      <alignment horizontal="center"/>
    </xf>
    <xf numFmtId="0" fontId="110" fillId="0" borderId="55">
      <alignment horizontal="centerContinuous"/>
    </xf>
    <xf numFmtId="0" fontId="110" fillId="0" borderId="55">
      <alignment horizontal="centerContinuous"/>
    </xf>
    <xf numFmtId="170" fontId="110" fillId="0" borderId="55">
      <alignment horizontal="centerContinuous"/>
    </xf>
    <xf numFmtId="224" fontId="110" fillId="0" borderId="0"/>
    <xf numFmtId="0" fontId="110" fillId="0" borderId="55">
      <protection locked="0"/>
    </xf>
    <xf numFmtId="0" fontId="110" fillId="0" borderId="55">
      <protection locked="0"/>
    </xf>
    <xf numFmtId="170" fontId="110" fillId="0" borderId="55">
      <protection locked="0"/>
    </xf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111" fillId="68" borderId="23" applyNumberFormat="0" applyProtection="0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4" fontId="83" fillId="35" borderId="0" applyNumberFormat="0" applyProtection="0">
      <alignment horizontal="left" vertical="center" indent="1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8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83" fillId="3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35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8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83" fillId="14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2" fillId="69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113" fillId="70" borderId="23" applyNumberFormat="0" applyProtection="0">
      <alignment horizontal="right" vertical="center"/>
    </xf>
    <xf numFmtId="4" fontId="62" fillId="71" borderId="0" applyNumberFormat="0" applyProtection="0">
      <alignment horizontal="left" vertical="center" indent="1"/>
    </xf>
    <xf numFmtId="4" fontId="83" fillId="35" borderId="0" applyNumberFormat="0" applyProtection="0">
      <alignment horizontal="left" vertical="center" indent="1"/>
    </xf>
    <xf numFmtId="4" fontId="59" fillId="72" borderId="0" applyNumberFormat="0" applyProtection="0">
      <alignment horizontal="left" vertical="center" indent="1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114" fillId="69" borderId="23" applyNumberFormat="0" applyProtection="0">
      <alignment horizontal="right" vertical="center"/>
    </xf>
    <xf numFmtId="4" fontId="83" fillId="73" borderId="0" applyNumberFormat="0" applyProtection="0">
      <alignment horizontal="left" vertical="center" indent="1"/>
    </xf>
    <xf numFmtId="4" fontId="83" fillId="70" borderId="0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2" fillId="74" borderId="23" applyNumberFormat="0" applyProtection="0">
      <alignment horizontal="left" vertical="center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17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4" fillId="69" borderId="23" applyNumberFormat="0" applyProtection="0">
      <alignment horizontal="left" vertical="top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113" fillId="22" borderId="23" applyNumberFormat="0" applyProtection="0">
      <alignment horizontal="left" vertical="center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115" fillId="22" borderId="23" applyNumberFormat="0" applyProtection="0">
      <alignment horizontal="left" vertical="center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83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116" fillId="67" borderId="23" applyNumberFormat="0" applyProtection="0">
      <alignment vertical="center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4" fontId="83" fillId="67" borderId="23" applyNumberFormat="0" applyProtection="0">
      <alignment horizontal="left" vertical="center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200" fontId="83" fillId="67" borderId="23" applyNumberFormat="0" applyProtection="0">
      <alignment horizontal="left" vertical="top" indent="1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116" fillId="73" borderId="23" applyNumberFormat="0" applyProtection="0">
      <alignment horizontal="right" vertical="center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4" fontId="83" fillId="22" borderId="23" applyNumberFormat="0" applyProtection="0">
      <alignment horizontal="left" vertical="center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200" fontId="112" fillId="76" borderId="56" applyNumberFormat="0" applyProtection="0">
      <alignment horizontal="left" vertical="top" indent="1"/>
    </xf>
    <xf numFmtId="4" fontId="117" fillId="77" borderId="0" applyNumberFormat="0" applyProtection="0">
      <alignment horizontal="left" vertical="center" indent="1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4" fontId="118" fillId="73" borderId="23" applyNumberFormat="0" applyProtection="0">
      <alignment horizontal="right" vertical="center"/>
    </xf>
    <xf numFmtId="200" fontId="119" fillId="78" borderId="0" applyNumberFormat="0" applyFont="0" applyAlignment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200" fontId="40" fillId="0" borderId="0" applyNumberFormat="0" applyFill="0" applyBorder="0" applyAlignment="0" applyProtection="0"/>
    <xf numFmtId="200" fontId="119" fillId="0" borderId="57">
      <alignment horizontal="right" vertical="center"/>
    </xf>
    <xf numFmtId="200" fontId="119" fillId="0" borderId="57">
      <alignment horizontal="right" vertical="center"/>
    </xf>
    <xf numFmtId="200" fontId="119" fillId="0" borderId="57">
      <alignment horizontal="right" vertical="center"/>
    </xf>
    <xf numFmtId="200" fontId="119" fillId="0" borderId="57">
      <alignment horizontal="right" vertical="center"/>
    </xf>
    <xf numFmtId="200" fontId="119" fillId="0" borderId="57">
      <alignment horizontal="right" vertical="center"/>
    </xf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3" fontId="82" fillId="79" borderId="0">
      <alignment horizontal="left"/>
    </xf>
    <xf numFmtId="200" fontId="36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3" fontId="60" fillId="79" borderId="0">
      <alignment horizontal="left"/>
    </xf>
    <xf numFmtId="204" fontId="120" fillId="0" borderId="0"/>
    <xf numFmtId="226" fontId="121" fillId="80" borderId="0">
      <alignment vertical="center"/>
    </xf>
    <xf numFmtId="3" fontId="60" fillId="79" borderId="0">
      <alignment horizontal="left"/>
    </xf>
    <xf numFmtId="226" fontId="121" fillId="0" borderId="58">
      <alignment vertical="center"/>
    </xf>
    <xf numFmtId="226" fontId="121" fillId="0" borderId="59" applyFill="0" applyAlignment="0">
      <alignment vertical="center"/>
    </xf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26" fontId="122" fillId="0" borderId="58">
      <alignment vertical="center"/>
    </xf>
    <xf numFmtId="226" fontId="122" fillId="0" borderId="59">
      <alignment vertical="center"/>
    </xf>
    <xf numFmtId="4" fontId="123" fillId="0" borderId="58">
      <alignment vertical="center"/>
    </xf>
    <xf numFmtId="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200" fontId="42" fillId="0" borderId="15" applyNumberFormat="0" applyFill="0" applyAlignment="0" applyProtection="0"/>
    <xf numFmtId="200" fontId="42" fillId="0" borderId="15" applyNumberFormat="0" applyFill="0" applyAlignment="0" applyProtection="0"/>
    <xf numFmtId="200" fontId="42" fillId="0" borderId="15" applyNumberFormat="0" applyFill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200" fontId="44" fillId="0" borderId="16" applyNumberFormat="0" applyFill="0" applyAlignment="0" applyProtection="0"/>
    <xf numFmtId="200" fontId="44" fillId="0" borderId="16" applyNumberFormat="0" applyFill="0" applyAlignment="0" applyProtection="0"/>
    <xf numFmtId="200" fontId="44" fillId="0" borderId="16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45" fillId="0" borderId="17" applyNumberFormat="0" applyFill="0" applyAlignment="0" applyProtection="0"/>
    <xf numFmtId="200" fontId="45" fillId="0" borderId="17" applyNumberFormat="0" applyFill="0" applyAlignment="0" applyProtection="0"/>
    <xf numFmtId="200" fontId="45" fillId="0" borderId="17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124" fillId="0" borderId="0"/>
    <xf numFmtId="200" fontId="119" fillId="0" borderId="0">
      <alignment horizontal="right" vertical="center"/>
    </xf>
    <xf numFmtId="200" fontId="119" fillId="0" borderId="60">
      <alignment horizontal="center" vertical="center"/>
    </xf>
    <xf numFmtId="3" fontId="103" fillId="35" borderId="33">
      <alignment horizontal="center" vertical="center"/>
    </xf>
    <xf numFmtId="3" fontId="103" fillId="35" borderId="33">
      <alignment horizontal="center" vertical="center"/>
    </xf>
    <xf numFmtId="3" fontId="125" fillId="79" borderId="0">
      <alignment horizontal="left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3" fontId="62" fillId="81" borderId="0">
      <alignment horizontal="right"/>
    </xf>
    <xf numFmtId="226" fontId="126" fillId="82" borderId="0">
      <alignment vertical="center"/>
    </xf>
    <xf numFmtId="0" fontId="64" fillId="0" borderId="33" applyNumberFormat="0" applyFill="0" applyProtection="0"/>
    <xf numFmtId="200" fontId="127" fillId="0" borderId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28" fillId="0" borderId="0" applyFont="0" applyFill="0" applyBorder="0" applyAlignment="0" applyProtection="0"/>
    <xf numFmtId="165" fontId="12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27" fontId="36" fillId="0" borderId="0" applyFont="0" applyFill="0" applyBorder="0" applyAlignment="0" applyProtection="0"/>
    <xf numFmtId="228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82" fontId="3" fillId="0" borderId="0"/>
    <xf numFmtId="9" fontId="3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30" xfId="0" applyBorder="1"/>
    <xf numFmtId="0" fontId="74" fillId="39" borderId="0" xfId="0" applyFont="1" applyFill="1" applyBorder="1" applyAlignment="1">
      <alignment vertical="center"/>
    </xf>
    <xf numFmtId="0" fontId="0" fillId="0" borderId="0" xfId="0" applyFill="1" applyBorder="1"/>
    <xf numFmtId="0" fontId="74" fillId="0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4" fillId="32" borderId="42" xfId="0" applyFont="1" applyFill="1" applyBorder="1"/>
    <xf numFmtId="0" fontId="0" fillId="0" borderId="41" xfId="0" applyBorder="1"/>
    <xf numFmtId="0" fontId="74" fillId="42" borderId="0" xfId="0" applyFont="1" applyFill="1" applyBorder="1" applyAlignment="1">
      <alignment vertical="center"/>
    </xf>
    <xf numFmtId="0" fontId="74" fillId="42" borderId="41" xfId="0" applyFont="1" applyFill="1" applyBorder="1" applyAlignment="1">
      <alignment vertical="center"/>
    </xf>
    <xf numFmtId="0" fontId="4" fillId="32" borderId="38" xfId="0" applyFont="1" applyFill="1" applyBorder="1" applyAlignment="1">
      <alignment horizontal="center" vertical="center"/>
    </xf>
    <xf numFmtId="0" fontId="4" fillId="32" borderId="39" xfId="0" applyFont="1" applyFill="1" applyBorder="1" applyAlignment="1">
      <alignment horizontal="center" vertical="center"/>
    </xf>
    <xf numFmtId="0" fontId="74" fillId="0" borderId="41" xfId="0" applyFont="1" applyFill="1" applyBorder="1" applyAlignment="1">
      <alignment vertical="center"/>
    </xf>
    <xf numFmtId="0" fontId="74" fillId="0" borderId="30" xfId="0" applyFont="1" applyFill="1" applyBorder="1" applyAlignment="1">
      <alignment vertical="center"/>
    </xf>
    <xf numFmtId="0" fontId="0" fillId="42" borderId="0" xfId="0" applyFill="1"/>
    <xf numFmtId="0" fontId="4" fillId="83" borderId="45" xfId="0" applyFont="1" applyFill="1" applyBorder="1"/>
    <xf numFmtId="0" fontId="4" fillId="83" borderId="44" xfId="0" applyFont="1" applyFill="1" applyBorder="1" applyAlignment="1">
      <alignment horizontal="center" vertical="center"/>
    </xf>
    <xf numFmtId="0" fontId="4" fillId="83" borderId="40" xfId="0" applyFont="1" applyFill="1" applyBorder="1" applyAlignment="1">
      <alignment horizontal="center" vertical="center"/>
    </xf>
    <xf numFmtId="0" fontId="4" fillId="83" borderId="43" xfId="0" applyFont="1" applyFill="1" applyBorder="1"/>
    <xf numFmtId="0" fontId="0" fillId="0" borderId="61" xfId="0" applyBorder="1"/>
    <xf numFmtId="0" fontId="0" fillId="0" borderId="64" xfId="0" applyBorder="1"/>
    <xf numFmtId="0" fontId="4" fillId="83" borderId="66" xfId="0" applyFont="1" applyFill="1" applyBorder="1" applyAlignment="1">
      <alignment horizontal="center" vertical="center"/>
    </xf>
    <xf numFmtId="0" fontId="4" fillId="83" borderId="67" xfId="0" applyFont="1" applyFill="1" applyBorder="1" applyAlignment="1">
      <alignment horizontal="center" vertical="center"/>
    </xf>
    <xf numFmtId="0" fontId="4" fillId="83" borderId="72" xfId="0" applyFont="1" applyFill="1" applyBorder="1"/>
    <xf numFmtId="0" fontId="4" fillId="83" borderId="73" xfId="0" applyFont="1" applyFill="1" applyBorder="1" applyAlignment="1">
      <alignment horizontal="center" vertical="center"/>
    </xf>
    <xf numFmtId="0" fontId="4" fillId="83" borderId="74" xfId="0" applyFont="1" applyFill="1" applyBorder="1" applyAlignment="1">
      <alignment horizontal="center" vertical="center"/>
    </xf>
    <xf numFmtId="0" fontId="0" fillId="0" borderId="65" xfId="0" applyBorder="1"/>
    <xf numFmtId="0" fontId="0" fillId="0" borderId="68" xfId="0" applyFill="1" applyBorder="1" applyAlignment="1">
      <alignment vertical="center" wrapText="1"/>
    </xf>
    <xf numFmtId="0" fontId="0" fillId="0" borderId="69" xfId="0" applyFill="1" applyBorder="1" applyAlignment="1">
      <alignment horizontal="center" vertical="center" wrapText="1"/>
    </xf>
    <xf numFmtId="0" fontId="0" fillId="0" borderId="71" xfId="0" applyBorder="1"/>
    <xf numFmtId="0" fontId="0" fillId="0" borderId="76" xfId="0" applyBorder="1"/>
    <xf numFmtId="0" fontId="0" fillId="0" borderId="75" xfId="0" applyBorder="1"/>
    <xf numFmtId="0" fontId="130" fillId="85" borderId="63" xfId="994" applyFont="1" applyFill="1" applyBorder="1" applyAlignment="1" applyProtection="1">
      <alignment horizontal="center" vertical="center" wrapText="1"/>
      <protection locked="0"/>
    </xf>
    <xf numFmtId="0" fontId="130" fillId="85" borderId="65" xfId="994" applyFont="1" applyFill="1" applyBorder="1" applyAlignment="1" applyProtection="1">
      <alignment horizontal="center" vertical="center" wrapText="1"/>
      <protection locked="0"/>
    </xf>
    <xf numFmtId="0" fontId="130" fillId="85" borderId="30" xfId="994" applyFont="1" applyFill="1" applyBorder="1" applyAlignment="1" applyProtection="1">
      <alignment horizontal="center" vertical="center" wrapText="1"/>
      <protection locked="0"/>
    </xf>
    <xf numFmtId="0" fontId="73" fillId="85" borderId="70" xfId="0" applyFont="1" applyFill="1" applyBorder="1" applyAlignment="1">
      <alignment horizontal="center" vertical="center" wrapText="1"/>
    </xf>
    <xf numFmtId="0" fontId="73" fillId="85" borderId="70" xfId="0" applyFont="1" applyFill="1" applyBorder="1" applyAlignment="1">
      <alignment horizontal="center" vertical="center"/>
    </xf>
    <xf numFmtId="0" fontId="0" fillId="0" borderId="41" xfId="0" applyBorder="1" applyAlignment="1"/>
    <xf numFmtId="0" fontId="0" fillId="0" borderId="0" xfId="0" applyBorder="1" applyAlignment="1"/>
    <xf numFmtId="0" fontId="0" fillId="0" borderId="30" xfId="0" applyBorder="1" applyAlignment="1"/>
    <xf numFmtId="14" fontId="0" fillId="0" borderId="68" xfId="0" applyNumberFormat="1" applyBorder="1" applyAlignment="1">
      <alignment horizontal="center" vertical="center" wrapText="1"/>
    </xf>
    <xf numFmtId="0" fontId="129" fillId="85" borderId="35" xfId="0" applyFont="1" applyFill="1" applyBorder="1" applyAlignment="1">
      <alignment horizontal="center"/>
    </xf>
    <xf numFmtId="0" fontId="129" fillId="85" borderId="37" xfId="0" applyFont="1" applyFill="1" applyBorder="1" applyAlignment="1">
      <alignment horizontal="center"/>
    </xf>
    <xf numFmtId="0" fontId="129" fillId="85" borderId="36" xfId="0" applyFont="1" applyFill="1" applyBorder="1" applyAlignment="1">
      <alignment horizontal="center"/>
    </xf>
    <xf numFmtId="0" fontId="74" fillId="85" borderId="0" xfId="0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74" fillId="85" borderId="30" xfId="0" applyFont="1" applyFill="1" applyBorder="1" applyAlignment="1">
      <alignment horizontal="center" vertical="center"/>
    </xf>
    <xf numFmtId="0" fontId="131" fillId="84" borderId="62" xfId="0" applyFont="1" applyFill="1" applyBorder="1" applyAlignment="1">
      <alignment horizontal="center" vertical="center"/>
    </xf>
    <xf numFmtId="0" fontId="131" fillId="84" borderId="62" xfId="664" applyFont="1" applyFill="1" applyBorder="1" applyAlignment="1" applyProtection="1">
      <alignment horizontal="center" vertical="center" wrapText="1"/>
    </xf>
    <xf numFmtId="0" fontId="130" fillId="85" borderId="65" xfId="994" applyFont="1" applyFill="1" applyBorder="1" applyAlignment="1" applyProtection="1">
      <alignment horizontal="center" vertical="center" wrapText="1"/>
      <protection locked="0"/>
    </xf>
    <xf numFmtId="0" fontId="130" fillId="85" borderId="76" xfId="994" applyFont="1" applyFill="1" applyBorder="1" applyAlignment="1" applyProtection="1">
      <alignment horizontal="center" vertical="center" wrapText="1"/>
      <protection locked="0"/>
    </xf>
    <xf numFmtId="0" fontId="130" fillId="85" borderId="75" xfId="994" applyFont="1" applyFill="1" applyBorder="1" applyAlignment="1" applyProtection="1">
      <alignment horizontal="center" vertical="center" wrapText="1"/>
      <protection locked="0"/>
    </xf>
    <xf numFmtId="0" fontId="0" fillId="0" borderId="69" xfId="0" applyBorder="1" applyAlignment="1">
      <alignment horizontal="left" vertical="center" wrapText="1"/>
    </xf>
    <xf numFmtId="0" fontId="0" fillId="0" borderId="71" xfId="0" applyBorder="1" applyAlignment="1">
      <alignment horizontal="left" vertical="center" wrapText="1"/>
    </xf>
    <xf numFmtId="0" fontId="0" fillId="0" borderId="70" xfId="0" applyBorder="1" applyAlignment="1">
      <alignment horizontal="left" vertical="center" wrapText="1"/>
    </xf>
    <xf numFmtId="0" fontId="76" fillId="85" borderId="41" xfId="0" applyFont="1" applyFill="1" applyBorder="1" applyAlignment="1">
      <alignment horizontal="center"/>
    </xf>
    <xf numFmtId="0" fontId="76" fillId="85" borderId="0" xfId="0" applyFont="1" applyFill="1" applyBorder="1" applyAlignment="1">
      <alignment horizontal="center"/>
    </xf>
    <xf numFmtId="0" fontId="76" fillId="85" borderId="30" xfId="0" applyFont="1" applyFill="1" applyBorder="1" applyAlignment="1">
      <alignment horizontal="center"/>
    </xf>
    <xf numFmtId="0" fontId="0" fillId="0" borderId="41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</cellXfs>
  <cellStyles count="20576">
    <cellStyle name=" Task]_x000d__x000a_TaskName=Scan At_x000d__x000a_TaskID=3_x000d__x000a_WorkstationName=SmarTone_x000d__x000a_LastExecuted=0_x000d__x000a_LastSt" xfId="2002"/>
    <cellStyle name="%" xfId="2003"/>
    <cellStyle name="%_GP OI (V4.2) - 18.12.2008" xfId="2004"/>
    <cellStyle name="%_GP OI (V4.5) - 05.03.2009" xfId="2005"/>
    <cellStyle name="_Base" xfId="2006"/>
    <cellStyle name="_IARA v8" xfId="2007"/>
    <cellStyle name="_IARA v8 2" xfId="2008"/>
    <cellStyle name="_IARA v8 2_GPOi Celpa" xfId="2009"/>
    <cellStyle name="_IARA v8 2_GPOi Celpa ajustado" xfId="2010"/>
    <cellStyle name="_IARA v8 2_GPOi Modelo" xfId="2011"/>
    <cellStyle name="_IARA v8 2_GPOi Modelo (5.2 Beta 1)" xfId="2012"/>
    <cellStyle name="_IARA v8 2_GPOi Modelo (5.2 Beta IMAC)" xfId="2013"/>
    <cellStyle name="_IARA v8 2_GPOi Modelo (5.2.1)" xfId="2014"/>
    <cellStyle name="_IARA v8 2_GPOi Modelo excel" xfId="2015"/>
    <cellStyle name="_Rentabilidade de Produtos v5 - Alçadas" xfId="2016"/>
    <cellStyle name="£ BP" xfId="2807"/>
    <cellStyle name="¥ JY" xfId="2808"/>
    <cellStyle name="0,0_x000d__x000a_NA_x000d__x000a_" xfId="2017"/>
    <cellStyle name="1o.nível" xfId="2809"/>
    <cellStyle name="20% - Accent1" xfId="1"/>
    <cellStyle name="20% - Accent1 2" xfId="2810"/>
    <cellStyle name="20% - Accent1 3" xfId="2811"/>
    <cellStyle name="20% - Accent1 4" xfId="2812"/>
    <cellStyle name="20% - Accent1 5" xfId="2813"/>
    <cellStyle name="20% - Accent2" xfId="2"/>
    <cellStyle name="20% - Accent2 2" xfId="2814"/>
    <cellStyle name="20% - Accent2 3" xfId="2815"/>
    <cellStyle name="20% - Accent2 4" xfId="2816"/>
    <cellStyle name="20% - Accent2 5" xfId="2817"/>
    <cellStyle name="20% - Accent3" xfId="3"/>
    <cellStyle name="20% - Accent3 2" xfId="2818"/>
    <cellStyle name="20% - Accent3 3" xfId="2819"/>
    <cellStyle name="20% - Accent3 4" xfId="2820"/>
    <cellStyle name="20% - Accent3 5" xfId="2821"/>
    <cellStyle name="20% - Accent4" xfId="4"/>
    <cellStyle name="20% - Accent4 2" xfId="2822"/>
    <cellStyle name="20% - Accent4 3" xfId="2823"/>
    <cellStyle name="20% - Accent4 4" xfId="2824"/>
    <cellStyle name="20% - Accent4 5" xfId="2825"/>
    <cellStyle name="20% - Accent5" xfId="5"/>
    <cellStyle name="20% - Accent5 2" xfId="2826"/>
    <cellStyle name="20% - Accent5 3" xfId="2827"/>
    <cellStyle name="20% - Accent5 4" xfId="2828"/>
    <cellStyle name="20% - Accent5 5" xfId="2829"/>
    <cellStyle name="20% - Accent6" xfId="6"/>
    <cellStyle name="20% - Accent6 2" xfId="2830"/>
    <cellStyle name="20% - Accent6 3" xfId="2831"/>
    <cellStyle name="20% - Accent6 4" xfId="2832"/>
    <cellStyle name="20% - Accent6 5" xfId="2833"/>
    <cellStyle name="20% - Ênfase1 10" xfId="7"/>
    <cellStyle name="20% - Ênfase1 11" xfId="8"/>
    <cellStyle name="20% - Ênfase1 12" xfId="9"/>
    <cellStyle name="20% - Ênfase1 13" xfId="2834"/>
    <cellStyle name="20% - Ênfase1 14" xfId="2835"/>
    <cellStyle name="20% - Ênfase1 15" xfId="2836"/>
    <cellStyle name="20% - Ênfase1 16" xfId="2837"/>
    <cellStyle name="20% - Ênfase1 2" xfId="10"/>
    <cellStyle name="20% - Ênfase1 2 2" xfId="11"/>
    <cellStyle name="20% - Ênfase1 2 3" xfId="12"/>
    <cellStyle name="20% - Ênfase1 2 4" xfId="13"/>
    <cellStyle name="20% - Ênfase1 2 5" xfId="14"/>
    <cellStyle name="20% - Ênfase1 2 6" xfId="15"/>
    <cellStyle name="20% - Ênfase1 2_REP_PIP_TRB" xfId="16"/>
    <cellStyle name="20% - Ênfase1 3" xfId="17"/>
    <cellStyle name="20% - Ênfase1 3 2" xfId="2018"/>
    <cellStyle name="20% - Ênfase1 4" xfId="18"/>
    <cellStyle name="20% - Ênfase1 4 2" xfId="2019"/>
    <cellStyle name="20% - Ênfase1 5" xfId="19"/>
    <cellStyle name="20% - Ênfase1 5 2" xfId="2020"/>
    <cellStyle name="20% - Ênfase1 6" xfId="20"/>
    <cellStyle name="20% - Ênfase1 7" xfId="21"/>
    <cellStyle name="20% - Ênfase1 8" xfId="22"/>
    <cellStyle name="20% - Ênfase1 9" xfId="23"/>
    <cellStyle name="20% - Ênfase2 10" xfId="24"/>
    <cellStyle name="20% - Ênfase2 11" xfId="25"/>
    <cellStyle name="20% - Ênfase2 12" xfId="26"/>
    <cellStyle name="20% - Ênfase2 13" xfId="2838"/>
    <cellStyle name="20% - Ênfase2 14" xfId="2839"/>
    <cellStyle name="20% - Ênfase2 15" xfId="2840"/>
    <cellStyle name="20% - Ênfase2 16" xfId="2841"/>
    <cellStyle name="20% - Ênfase2 2" xfId="27"/>
    <cellStyle name="20% - Ênfase2 2 2" xfId="28"/>
    <cellStyle name="20% - Ênfase2 2 3" xfId="29"/>
    <cellStyle name="20% - Ênfase2 2 4" xfId="30"/>
    <cellStyle name="20% - Ênfase2 2 5" xfId="31"/>
    <cellStyle name="20% - Ênfase2 2 6" xfId="32"/>
    <cellStyle name="20% - Ênfase2 2_REP_PIP_TRB" xfId="33"/>
    <cellStyle name="20% - Ênfase2 3" xfId="34"/>
    <cellStyle name="20% - Ênfase2 3 2" xfId="2021"/>
    <cellStyle name="20% - Ênfase2 4" xfId="35"/>
    <cellStyle name="20% - Ênfase2 4 2" xfId="2022"/>
    <cellStyle name="20% - Ênfase2 5" xfId="36"/>
    <cellStyle name="20% - Ênfase2 5 2" xfId="2023"/>
    <cellStyle name="20% - Ênfase2 6" xfId="37"/>
    <cellStyle name="20% - Ênfase2 7" xfId="38"/>
    <cellStyle name="20% - Ênfase2 8" xfId="39"/>
    <cellStyle name="20% - Ênfase2 9" xfId="40"/>
    <cellStyle name="20% - Ênfase3 10" xfId="41"/>
    <cellStyle name="20% - Ênfase3 11" xfId="42"/>
    <cellStyle name="20% - Ênfase3 12" xfId="43"/>
    <cellStyle name="20% - Ênfase3 13" xfId="2842"/>
    <cellStyle name="20% - Ênfase3 14" xfId="2843"/>
    <cellStyle name="20% - Ênfase3 15" xfId="2844"/>
    <cellStyle name="20% - Ênfase3 16" xfId="2845"/>
    <cellStyle name="20% - Ênfase3 2" xfId="44"/>
    <cellStyle name="20% - Ênfase3 2 2" xfId="45"/>
    <cellStyle name="20% - Ênfase3 2 3" xfId="46"/>
    <cellStyle name="20% - Ênfase3 2 4" xfId="47"/>
    <cellStyle name="20% - Ênfase3 2 5" xfId="48"/>
    <cellStyle name="20% - Ênfase3 2 6" xfId="49"/>
    <cellStyle name="20% - Ênfase3 2_REP_PIP_TRB" xfId="50"/>
    <cellStyle name="20% - Ênfase3 3" xfId="51"/>
    <cellStyle name="20% - Ênfase3 4" xfId="52"/>
    <cellStyle name="20% - Ênfase3 5" xfId="53"/>
    <cellStyle name="20% - Ênfase3 6" xfId="54"/>
    <cellStyle name="20% - Ênfase3 7" xfId="55"/>
    <cellStyle name="20% - Ênfase3 8" xfId="56"/>
    <cellStyle name="20% - Ênfase3 9" xfId="57"/>
    <cellStyle name="20% - Ênfase4 10" xfId="58"/>
    <cellStyle name="20% - Ênfase4 11" xfId="59"/>
    <cellStyle name="20% - Ênfase4 12" xfId="60"/>
    <cellStyle name="20% - Ênfase4 13" xfId="2846"/>
    <cellStyle name="20% - Ênfase4 14" xfId="2847"/>
    <cellStyle name="20% - Ênfase4 15" xfId="2848"/>
    <cellStyle name="20% - Ênfase4 16" xfId="2849"/>
    <cellStyle name="20% - Ênfase4 2" xfId="61"/>
    <cellStyle name="20% - Ênfase4 2 2" xfId="62"/>
    <cellStyle name="20% - Ênfase4 2 3" xfId="63"/>
    <cellStyle name="20% - Ênfase4 2 4" xfId="64"/>
    <cellStyle name="20% - Ênfase4 2 5" xfId="65"/>
    <cellStyle name="20% - Ênfase4 2 6" xfId="66"/>
    <cellStyle name="20% - Ênfase4 2_REP_PIP_TRB" xfId="67"/>
    <cellStyle name="20% - Ênfase4 3" xfId="68"/>
    <cellStyle name="20% - Ênfase4 3 2" xfId="2024"/>
    <cellStyle name="20% - Ênfase4 4" xfId="69"/>
    <cellStyle name="20% - Ênfase4 4 2" xfId="2025"/>
    <cellStyle name="20% - Ênfase4 5" xfId="70"/>
    <cellStyle name="20% - Ênfase4 5 2" xfId="2026"/>
    <cellStyle name="20% - Ênfase4 6" xfId="71"/>
    <cellStyle name="20% - Ênfase4 7" xfId="72"/>
    <cellStyle name="20% - Ênfase4 8" xfId="73"/>
    <cellStyle name="20% - Ênfase4 9" xfId="74"/>
    <cellStyle name="20% - Ênfase5 10" xfId="75"/>
    <cellStyle name="20% - Ênfase5 11" xfId="76"/>
    <cellStyle name="20% - Ênfase5 12" xfId="77"/>
    <cellStyle name="20% - Ênfase5 13" xfId="2850"/>
    <cellStyle name="20% - Ênfase5 14" xfId="2851"/>
    <cellStyle name="20% - Ênfase5 15" xfId="2852"/>
    <cellStyle name="20% - Ênfase5 16" xfId="2853"/>
    <cellStyle name="20% - Ênfase5 2" xfId="78"/>
    <cellStyle name="20% - Ênfase5 2 2" xfId="79"/>
    <cellStyle name="20% - Ênfase5 2 3" xfId="80"/>
    <cellStyle name="20% - Ênfase5 2 4" xfId="81"/>
    <cellStyle name="20% - Ênfase5 2 5" xfId="82"/>
    <cellStyle name="20% - Ênfase5 2 6" xfId="83"/>
    <cellStyle name="20% - Ênfase5 2_REP_PIP_TRB" xfId="84"/>
    <cellStyle name="20% - Ênfase5 3" xfId="85"/>
    <cellStyle name="20% - Ênfase5 4" xfId="86"/>
    <cellStyle name="20% - Ênfase5 5" xfId="87"/>
    <cellStyle name="20% - Ênfase5 6" xfId="88"/>
    <cellStyle name="20% - Ênfase5 7" xfId="89"/>
    <cellStyle name="20% - Ênfase5 8" xfId="90"/>
    <cellStyle name="20% - Ênfase5 9" xfId="91"/>
    <cellStyle name="20% - Ênfase6 10" xfId="92"/>
    <cellStyle name="20% - Ênfase6 11" xfId="93"/>
    <cellStyle name="20% - Ênfase6 12" xfId="94"/>
    <cellStyle name="20% - Ênfase6 13" xfId="2854"/>
    <cellStyle name="20% - Ênfase6 14" xfId="2855"/>
    <cellStyle name="20% - Ênfase6 15" xfId="2856"/>
    <cellStyle name="20% - Ênfase6 16" xfId="2857"/>
    <cellStyle name="20% - Ênfase6 2" xfId="95"/>
    <cellStyle name="20% - Ênfase6 2 2" xfId="96"/>
    <cellStyle name="20% - Ênfase6 2 3" xfId="97"/>
    <cellStyle name="20% - Ênfase6 2 4" xfId="98"/>
    <cellStyle name="20% - Ênfase6 2 5" xfId="99"/>
    <cellStyle name="20% - Ênfase6 2 6" xfId="100"/>
    <cellStyle name="20% - Ênfase6 2_REP_PIP_TRB" xfId="101"/>
    <cellStyle name="20% - Ênfase6 3" xfId="102"/>
    <cellStyle name="20% - Ênfase6 3 2" xfId="2027"/>
    <cellStyle name="20% - Ênfase6 4" xfId="103"/>
    <cellStyle name="20% - Ênfase6 4 2" xfId="2028"/>
    <cellStyle name="20% - Ênfase6 5" xfId="104"/>
    <cellStyle name="20% - Ênfase6 5 2" xfId="2029"/>
    <cellStyle name="20% - Ênfase6 6" xfId="105"/>
    <cellStyle name="20% - Ênfase6 7" xfId="106"/>
    <cellStyle name="20% - Ênfase6 8" xfId="107"/>
    <cellStyle name="20% - Ênfase6 9" xfId="108"/>
    <cellStyle name="2o.nível" xfId="2858"/>
    <cellStyle name="40% - Accent1" xfId="109"/>
    <cellStyle name="40% - Accent1 2" xfId="2859"/>
    <cellStyle name="40% - Accent1 3" xfId="2860"/>
    <cellStyle name="40% - Accent1 4" xfId="2861"/>
    <cellStyle name="40% - Accent1 5" xfId="2862"/>
    <cellStyle name="40% - Accent2" xfId="110"/>
    <cellStyle name="40% - Accent2 2" xfId="2863"/>
    <cellStyle name="40% - Accent2 3" xfId="2864"/>
    <cellStyle name="40% - Accent2 4" xfId="2865"/>
    <cellStyle name="40% - Accent2 5" xfId="2866"/>
    <cellStyle name="40% - Accent3" xfId="111"/>
    <cellStyle name="40% - Accent3 2" xfId="2867"/>
    <cellStyle name="40% - Accent3 3" xfId="2868"/>
    <cellStyle name="40% - Accent3 4" xfId="2869"/>
    <cellStyle name="40% - Accent3 5" xfId="2870"/>
    <cellStyle name="40% - Accent4" xfId="112"/>
    <cellStyle name="40% - Accent4 2" xfId="2871"/>
    <cellStyle name="40% - Accent4 3" xfId="2872"/>
    <cellStyle name="40% - Accent4 4" xfId="2873"/>
    <cellStyle name="40% - Accent4 5" xfId="2874"/>
    <cellStyle name="40% - Accent5" xfId="113"/>
    <cellStyle name="40% - Accent5 2" xfId="2875"/>
    <cellStyle name="40% - Accent5 3" xfId="2876"/>
    <cellStyle name="40% - Accent5 4" xfId="2877"/>
    <cellStyle name="40% - Accent5 5" xfId="2878"/>
    <cellStyle name="40% - Accent6" xfId="114"/>
    <cellStyle name="40% - Accent6 2" xfId="2879"/>
    <cellStyle name="40% - Accent6 3" xfId="2880"/>
    <cellStyle name="40% - Accent6 4" xfId="2881"/>
    <cellStyle name="40% - Accent6 5" xfId="2882"/>
    <cellStyle name="40% - Ênfase1 10" xfId="115"/>
    <cellStyle name="40% - Ênfase1 11" xfId="116"/>
    <cellStyle name="40% - Ênfase1 12" xfId="117"/>
    <cellStyle name="40% - Ênfase1 13" xfId="2883"/>
    <cellStyle name="40% - Ênfase1 14" xfId="2884"/>
    <cellStyle name="40% - Ênfase1 15" xfId="2885"/>
    <cellStyle name="40% - Ênfase1 16" xfId="2886"/>
    <cellStyle name="40% - Ênfase1 2" xfId="118"/>
    <cellStyle name="40% - Ênfase1 2 2" xfId="119"/>
    <cellStyle name="40% - Ênfase1 2 3" xfId="120"/>
    <cellStyle name="40% - Ênfase1 2 4" xfId="121"/>
    <cellStyle name="40% - Ênfase1 2 5" xfId="122"/>
    <cellStyle name="40% - Ênfase1 2 6" xfId="123"/>
    <cellStyle name="40% - Ênfase1 2_REP_PIP_TRB" xfId="124"/>
    <cellStyle name="40% - Ênfase1 3" xfId="125"/>
    <cellStyle name="40% - Ênfase1 3 2" xfId="2030"/>
    <cellStyle name="40% - Ênfase1 4" xfId="126"/>
    <cellStyle name="40% - Ênfase1 4 2" xfId="2031"/>
    <cellStyle name="40% - Ênfase1 5" xfId="127"/>
    <cellStyle name="40% - Ênfase1 5 2" xfId="2032"/>
    <cellStyle name="40% - Ênfase1 6" xfId="128"/>
    <cellStyle name="40% - Ênfase1 7" xfId="129"/>
    <cellStyle name="40% - Ênfase1 8" xfId="130"/>
    <cellStyle name="40% - Ênfase1 9" xfId="131"/>
    <cellStyle name="40% - Ênfase2 10" xfId="132"/>
    <cellStyle name="40% - Ênfase2 11" xfId="133"/>
    <cellStyle name="40% - Ênfase2 12" xfId="134"/>
    <cellStyle name="40% - Ênfase2 13" xfId="2887"/>
    <cellStyle name="40% - Ênfase2 14" xfId="2888"/>
    <cellStyle name="40% - Ênfase2 15" xfId="2889"/>
    <cellStyle name="40% - Ênfase2 16" xfId="2890"/>
    <cellStyle name="40% - Ênfase2 2" xfId="135"/>
    <cellStyle name="40% - Ênfase2 2 2" xfId="136"/>
    <cellStyle name="40% - Ênfase2 2 3" xfId="137"/>
    <cellStyle name="40% - Ênfase2 2 4" xfId="138"/>
    <cellStyle name="40% - Ênfase2 2 5" xfId="139"/>
    <cellStyle name="40% - Ênfase2 2 6" xfId="140"/>
    <cellStyle name="40% - Ênfase2 2_REP_PIP_TRB" xfId="141"/>
    <cellStyle name="40% - Ênfase2 3" xfId="142"/>
    <cellStyle name="40% - Ênfase2 4" xfId="143"/>
    <cellStyle name="40% - Ênfase2 5" xfId="144"/>
    <cellStyle name="40% - Ênfase2 6" xfId="145"/>
    <cellStyle name="40% - Ênfase2 7" xfId="146"/>
    <cellStyle name="40% - Ênfase2 8" xfId="147"/>
    <cellStyle name="40% - Ênfase2 9" xfId="148"/>
    <cellStyle name="40% - Ênfase3 10" xfId="149"/>
    <cellStyle name="40% - Ênfase3 11" xfId="150"/>
    <cellStyle name="40% - Ênfase3 12" xfId="151"/>
    <cellStyle name="40% - Ênfase3 13" xfId="2891"/>
    <cellStyle name="40% - Ênfase3 14" xfId="2892"/>
    <cellStyle name="40% - Ênfase3 15" xfId="2893"/>
    <cellStyle name="40% - Ênfase3 16" xfId="2894"/>
    <cellStyle name="40% - Ênfase3 2" xfId="152"/>
    <cellStyle name="40% - Ênfase3 2 2" xfId="153"/>
    <cellStyle name="40% - Ênfase3 2 3" xfId="154"/>
    <cellStyle name="40% - Ênfase3 2 4" xfId="155"/>
    <cellStyle name="40% - Ênfase3 2 5" xfId="156"/>
    <cellStyle name="40% - Ênfase3 2 6" xfId="157"/>
    <cellStyle name="40% - Ênfase3 2_REP_PIP_TRB" xfId="158"/>
    <cellStyle name="40% - Ênfase3 3" xfId="159"/>
    <cellStyle name="40% - Ênfase3 3 2" xfId="2033"/>
    <cellStyle name="40% - Ênfase3 4" xfId="160"/>
    <cellStyle name="40% - Ênfase3 4 2" xfId="2034"/>
    <cellStyle name="40% - Ênfase3 5" xfId="161"/>
    <cellStyle name="40% - Ênfase3 5 2" xfId="2035"/>
    <cellStyle name="40% - Ênfase3 6" xfId="162"/>
    <cellStyle name="40% - Ênfase3 7" xfId="163"/>
    <cellStyle name="40% - Ênfase3 8" xfId="164"/>
    <cellStyle name="40% - Ênfase3 9" xfId="165"/>
    <cellStyle name="40% - Ênfase4 10" xfId="166"/>
    <cellStyle name="40% - Ênfase4 11" xfId="167"/>
    <cellStyle name="40% - Ênfase4 12" xfId="168"/>
    <cellStyle name="40% - Ênfase4 13" xfId="2895"/>
    <cellStyle name="40% - Ênfase4 14" xfId="2896"/>
    <cellStyle name="40% - Ênfase4 15" xfId="2897"/>
    <cellStyle name="40% - Ênfase4 16" xfId="2898"/>
    <cellStyle name="40% - Ênfase4 2" xfId="169"/>
    <cellStyle name="40% - Ênfase4 2 2" xfId="170"/>
    <cellStyle name="40% - Ênfase4 2 3" xfId="171"/>
    <cellStyle name="40% - Ênfase4 2 4" xfId="172"/>
    <cellStyle name="40% - Ênfase4 2 5" xfId="173"/>
    <cellStyle name="40% - Ênfase4 2 6" xfId="174"/>
    <cellStyle name="40% - Ênfase4 2_REP_PIP_TRB" xfId="175"/>
    <cellStyle name="40% - Ênfase4 3" xfId="176"/>
    <cellStyle name="40% - Ênfase4 4" xfId="177"/>
    <cellStyle name="40% - Ênfase4 5" xfId="178"/>
    <cellStyle name="40% - Ênfase4 6" xfId="179"/>
    <cellStyle name="40% - Ênfase4 7" xfId="180"/>
    <cellStyle name="40% - Ênfase4 8" xfId="181"/>
    <cellStyle name="40% - Ênfase4 9" xfId="182"/>
    <cellStyle name="40% - Ênfase5 10" xfId="183"/>
    <cellStyle name="40% - Ênfase5 11" xfId="184"/>
    <cellStyle name="40% - Ênfase5 12" xfId="185"/>
    <cellStyle name="40% - Ênfase5 13" xfId="2899"/>
    <cellStyle name="40% - Ênfase5 14" xfId="2900"/>
    <cellStyle name="40% - Ênfase5 15" xfId="2901"/>
    <cellStyle name="40% - Ênfase5 16" xfId="2902"/>
    <cellStyle name="40% - Ênfase5 2" xfId="186"/>
    <cellStyle name="40% - Ênfase5 2 2" xfId="187"/>
    <cellStyle name="40% - Ênfase5 2 3" xfId="188"/>
    <cellStyle name="40% - Ênfase5 2 4" xfId="189"/>
    <cellStyle name="40% - Ênfase5 2 5" xfId="190"/>
    <cellStyle name="40% - Ênfase5 2 6" xfId="191"/>
    <cellStyle name="40% - Ênfase5 2_REP_PIP_TRB" xfId="192"/>
    <cellStyle name="40% - Ênfase5 3" xfId="193"/>
    <cellStyle name="40% - Ênfase5 3 2" xfId="2036"/>
    <cellStyle name="40% - Ênfase5 4" xfId="194"/>
    <cellStyle name="40% - Ênfase5 4 2" xfId="2037"/>
    <cellStyle name="40% - Ênfase5 5" xfId="195"/>
    <cellStyle name="40% - Ênfase5 5 2" xfId="2038"/>
    <cellStyle name="40% - Ênfase5 6" xfId="196"/>
    <cellStyle name="40% - Ênfase5 7" xfId="197"/>
    <cellStyle name="40% - Ênfase5 8" xfId="198"/>
    <cellStyle name="40% - Ênfase5 9" xfId="199"/>
    <cellStyle name="40% - Ênfase6 10" xfId="200"/>
    <cellStyle name="40% - Ênfase6 11" xfId="201"/>
    <cellStyle name="40% - Ênfase6 12" xfId="202"/>
    <cellStyle name="40% - Ênfase6 13" xfId="2903"/>
    <cellStyle name="40% - Ênfase6 14" xfId="2904"/>
    <cellStyle name="40% - Ênfase6 15" xfId="2905"/>
    <cellStyle name="40% - Ênfase6 16" xfId="2906"/>
    <cellStyle name="40% - Ênfase6 2" xfId="203"/>
    <cellStyle name="40% - Ênfase6 2 2" xfId="204"/>
    <cellStyle name="40% - Ênfase6 2 3" xfId="205"/>
    <cellStyle name="40% - Ênfase6 2 4" xfId="206"/>
    <cellStyle name="40% - Ênfase6 2 5" xfId="207"/>
    <cellStyle name="40% - Ênfase6 2 6" xfId="208"/>
    <cellStyle name="40% - Ênfase6 2_REP_PIP_TRB" xfId="209"/>
    <cellStyle name="40% - Ênfase6 3" xfId="210"/>
    <cellStyle name="40% - Ênfase6 3 2" xfId="2039"/>
    <cellStyle name="40% - Ênfase6 4" xfId="211"/>
    <cellStyle name="40% - Ênfase6 4 2" xfId="2040"/>
    <cellStyle name="40% - Ênfase6 5" xfId="212"/>
    <cellStyle name="40% - Ênfase6 5 2" xfId="2041"/>
    <cellStyle name="40% - Ênfase6 6" xfId="213"/>
    <cellStyle name="40% - Ênfase6 7" xfId="214"/>
    <cellStyle name="40% - Ênfase6 8" xfId="215"/>
    <cellStyle name="40% - Ênfase6 9" xfId="216"/>
    <cellStyle name="60% - Accent1" xfId="217"/>
    <cellStyle name="60% - Accent1 2" xfId="2907"/>
    <cellStyle name="60% - Accent1 3" xfId="2908"/>
    <cellStyle name="60% - Accent1 4" xfId="2909"/>
    <cellStyle name="60% - Accent1 5" xfId="2910"/>
    <cellStyle name="60% - Accent2" xfId="218"/>
    <cellStyle name="60% - Accent2 2" xfId="2911"/>
    <cellStyle name="60% - Accent2 3" xfId="2912"/>
    <cellStyle name="60% - Accent2 4" xfId="2913"/>
    <cellStyle name="60% - Accent2 5" xfId="2914"/>
    <cellStyle name="60% - Accent3" xfId="219"/>
    <cellStyle name="60% - Accent3 2" xfId="2915"/>
    <cellStyle name="60% - Accent3 3" xfId="2916"/>
    <cellStyle name="60% - Accent3 4" xfId="2917"/>
    <cellStyle name="60% - Accent3 5" xfId="2918"/>
    <cellStyle name="60% - Accent4" xfId="220"/>
    <cellStyle name="60% - Accent4 2" xfId="2919"/>
    <cellStyle name="60% - Accent4 3" xfId="2920"/>
    <cellStyle name="60% - Accent4 4" xfId="2921"/>
    <cellStyle name="60% - Accent4 5" xfId="2922"/>
    <cellStyle name="60% - Accent5" xfId="221"/>
    <cellStyle name="60% - Accent5 2" xfId="2923"/>
    <cellStyle name="60% - Accent5 3" xfId="2924"/>
    <cellStyle name="60% - Accent5 4" xfId="2925"/>
    <cellStyle name="60% - Accent5 5" xfId="2926"/>
    <cellStyle name="60% - Accent6" xfId="222"/>
    <cellStyle name="60% - Accent6 2" xfId="2927"/>
    <cellStyle name="60% - Accent6 3" xfId="2928"/>
    <cellStyle name="60% - Accent6 4" xfId="2929"/>
    <cellStyle name="60% - Accent6 5" xfId="2930"/>
    <cellStyle name="60% - Ênfase1 10" xfId="223"/>
    <cellStyle name="60% - Ênfase1 11" xfId="224"/>
    <cellStyle name="60% - Ênfase1 12" xfId="225"/>
    <cellStyle name="60% - Ênfase1 13" xfId="2931"/>
    <cellStyle name="60% - Ênfase1 14" xfId="2932"/>
    <cellStyle name="60% - Ênfase1 15" xfId="2933"/>
    <cellStyle name="60% - Ênfase1 16" xfId="2934"/>
    <cellStyle name="60% - Ênfase1 2" xfId="226"/>
    <cellStyle name="60% - Ênfase1 2 2" xfId="227"/>
    <cellStyle name="60% - Ênfase1 2 3" xfId="228"/>
    <cellStyle name="60% - Ênfase1 2 4" xfId="229"/>
    <cellStyle name="60% - Ênfase1 2 5" xfId="230"/>
    <cellStyle name="60% - Ênfase1 2 6" xfId="231"/>
    <cellStyle name="60% - Ênfase1 3" xfId="232"/>
    <cellStyle name="60% - Ênfase1 3 2" xfId="2042"/>
    <cellStyle name="60% - Ênfase1 4" xfId="233"/>
    <cellStyle name="60% - Ênfase1 4 2" xfId="2043"/>
    <cellStyle name="60% - Ênfase1 5" xfId="234"/>
    <cellStyle name="60% - Ênfase1 5 2" xfId="2044"/>
    <cellStyle name="60% - Ênfase1 6" xfId="235"/>
    <cellStyle name="60% - Ênfase1 7" xfId="236"/>
    <cellStyle name="60% - Ênfase1 8" xfId="237"/>
    <cellStyle name="60% - Ênfase1 9" xfId="238"/>
    <cellStyle name="60% - Ênfase2 10" xfId="239"/>
    <cellStyle name="60% - Ênfase2 11" xfId="240"/>
    <cellStyle name="60% - Ênfase2 12" xfId="241"/>
    <cellStyle name="60% - Ênfase2 13" xfId="2935"/>
    <cellStyle name="60% - Ênfase2 14" xfId="2936"/>
    <cellStyle name="60% - Ênfase2 15" xfId="2937"/>
    <cellStyle name="60% - Ênfase2 16" xfId="2938"/>
    <cellStyle name="60% - Ênfase2 2" xfId="242"/>
    <cellStyle name="60% - Ênfase2 2 2" xfId="243"/>
    <cellStyle name="60% - Ênfase2 2 3" xfId="244"/>
    <cellStyle name="60% - Ênfase2 2 4" xfId="245"/>
    <cellStyle name="60% - Ênfase2 2 5" xfId="246"/>
    <cellStyle name="60% - Ênfase2 2 6" xfId="247"/>
    <cellStyle name="60% - Ênfase2 3" xfId="248"/>
    <cellStyle name="60% - Ênfase2 4" xfId="249"/>
    <cellStyle name="60% - Ênfase2 5" xfId="250"/>
    <cellStyle name="60% - Ênfase2 6" xfId="251"/>
    <cellStyle name="60% - Ênfase2 7" xfId="252"/>
    <cellStyle name="60% - Ênfase2 8" xfId="253"/>
    <cellStyle name="60% - Ênfase2 9" xfId="254"/>
    <cellStyle name="60% - Ênfase3 10" xfId="255"/>
    <cellStyle name="60% - Ênfase3 11" xfId="256"/>
    <cellStyle name="60% - Ênfase3 12" xfId="257"/>
    <cellStyle name="60% - Ênfase3 13" xfId="2939"/>
    <cellStyle name="60% - Ênfase3 14" xfId="2940"/>
    <cellStyle name="60% - Ênfase3 15" xfId="2941"/>
    <cellStyle name="60% - Ênfase3 16" xfId="2942"/>
    <cellStyle name="60% - Ênfase3 2" xfId="258"/>
    <cellStyle name="60% - Ênfase3 2 2" xfId="259"/>
    <cellStyle name="60% - Ênfase3 2 3" xfId="260"/>
    <cellStyle name="60% - Ênfase3 2 4" xfId="261"/>
    <cellStyle name="60% - Ênfase3 2 5" xfId="262"/>
    <cellStyle name="60% - Ênfase3 2 6" xfId="263"/>
    <cellStyle name="60% - Ênfase3 3" xfId="264"/>
    <cellStyle name="60% - Ênfase3 3 2" xfId="2045"/>
    <cellStyle name="60% - Ênfase3 4" xfId="265"/>
    <cellStyle name="60% - Ênfase3 4 2" xfId="2046"/>
    <cellStyle name="60% - Ênfase3 5" xfId="266"/>
    <cellStyle name="60% - Ênfase3 5 2" xfId="2047"/>
    <cellStyle name="60% - Ênfase3 6" xfId="267"/>
    <cellStyle name="60% - Ênfase3 7" xfId="268"/>
    <cellStyle name="60% - Ênfase3 8" xfId="269"/>
    <cellStyle name="60% - Ênfase3 9" xfId="270"/>
    <cellStyle name="60% - Ênfase4 10" xfId="271"/>
    <cellStyle name="60% - Ênfase4 11" xfId="272"/>
    <cellStyle name="60% - Ênfase4 12" xfId="273"/>
    <cellStyle name="60% - Ênfase4 13" xfId="2943"/>
    <cellStyle name="60% - Ênfase4 14" xfId="2944"/>
    <cellStyle name="60% - Ênfase4 15" xfId="2945"/>
    <cellStyle name="60% - Ênfase4 16" xfId="2946"/>
    <cellStyle name="60% - Ênfase4 2" xfId="274"/>
    <cellStyle name="60% - Ênfase4 2 2" xfId="275"/>
    <cellStyle name="60% - Ênfase4 2 3" xfId="276"/>
    <cellStyle name="60% - Ênfase4 2 4" xfId="277"/>
    <cellStyle name="60% - Ênfase4 2 5" xfId="278"/>
    <cellStyle name="60% - Ênfase4 2 6" xfId="279"/>
    <cellStyle name="60% - Ênfase4 3" xfId="280"/>
    <cellStyle name="60% - Ênfase4 4" xfId="281"/>
    <cellStyle name="60% - Ênfase4 5" xfId="282"/>
    <cellStyle name="60% - Ênfase4 6" xfId="283"/>
    <cellStyle name="60% - Ênfase4 7" xfId="284"/>
    <cellStyle name="60% - Ênfase4 8" xfId="285"/>
    <cellStyle name="60% - Ênfase4 9" xfId="286"/>
    <cellStyle name="60% - Ênfase5 10" xfId="287"/>
    <cellStyle name="60% - Ênfase5 11" xfId="288"/>
    <cellStyle name="60% - Ênfase5 12" xfId="289"/>
    <cellStyle name="60% - Ênfase5 13" xfId="2947"/>
    <cellStyle name="60% - Ênfase5 14" xfId="2948"/>
    <cellStyle name="60% - Ênfase5 15" xfId="2949"/>
    <cellStyle name="60% - Ênfase5 16" xfId="2950"/>
    <cellStyle name="60% - Ênfase5 2" xfId="290"/>
    <cellStyle name="60% - Ênfase5 2 2" xfId="291"/>
    <cellStyle name="60% - Ênfase5 2 3" xfId="292"/>
    <cellStyle name="60% - Ênfase5 2 4" xfId="293"/>
    <cellStyle name="60% - Ênfase5 2 5" xfId="294"/>
    <cellStyle name="60% - Ênfase5 2 6" xfId="295"/>
    <cellStyle name="60% - Ênfase5 3" xfId="296"/>
    <cellStyle name="60% - Ênfase5 3 2" xfId="2048"/>
    <cellStyle name="60% - Ênfase5 4" xfId="297"/>
    <cellStyle name="60% - Ênfase5 4 2" xfId="2049"/>
    <cellStyle name="60% - Ênfase5 5" xfId="298"/>
    <cellStyle name="60% - Ênfase5 5 2" xfId="2050"/>
    <cellStyle name="60% - Ênfase5 6" xfId="299"/>
    <cellStyle name="60% - Ênfase5 7" xfId="300"/>
    <cellStyle name="60% - Ênfase5 8" xfId="301"/>
    <cellStyle name="60% - Ênfase5 9" xfId="302"/>
    <cellStyle name="60% - Ênfase6 10" xfId="303"/>
    <cellStyle name="60% - Ênfase6 11" xfId="304"/>
    <cellStyle name="60% - Ênfase6 12" xfId="305"/>
    <cellStyle name="60% - Ênfase6 13" xfId="2951"/>
    <cellStyle name="60% - Ênfase6 14" xfId="2952"/>
    <cellStyle name="60% - Ênfase6 15" xfId="2953"/>
    <cellStyle name="60% - Ênfase6 16" xfId="2954"/>
    <cellStyle name="60% - Ênfase6 2" xfId="306"/>
    <cellStyle name="60% - Ênfase6 2 2" xfId="307"/>
    <cellStyle name="60% - Ênfase6 2 3" xfId="308"/>
    <cellStyle name="60% - Ênfase6 2 4" xfId="309"/>
    <cellStyle name="60% - Ênfase6 2 5" xfId="310"/>
    <cellStyle name="60% - Ênfase6 2 6" xfId="311"/>
    <cellStyle name="60% - Ênfase6 3" xfId="312"/>
    <cellStyle name="60% - Ênfase6 3 2" xfId="2051"/>
    <cellStyle name="60% - Ênfase6 4" xfId="313"/>
    <cellStyle name="60% - Ênfase6 4 2" xfId="2052"/>
    <cellStyle name="60% - Ênfase6 5" xfId="314"/>
    <cellStyle name="60% - Ênfase6 5 2" xfId="2053"/>
    <cellStyle name="60% - Ênfase6 6" xfId="315"/>
    <cellStyle name="60% - Ênfase6 7" xfId="316"/>
    <cellStyle name="60% - Ênfase6 8" xfId="317"/>
    <cellStyle name="60% - Ênfase6 9" xfId="318"/>
    <cellStyle name="a_quebra_2" xfId="2955"/>
    <cellStyle name="AbertBalan" xfId="2956"/>
    <cellStyle name="Accent1" xfId="319"/>
    <cellStyle name="Accent1 - 20%" xfId="2957"/>
    <cellStyle name="Accent1 - 40%" xfId="2958"/>
    <cellStyle name="Accent1 - 60%" xfId="2959"/>
    <cellStyle name="Accent1 2" xfId="2960"/>
    <cellStyle name="Accent1 3" xfId="2961"/>
    <cellStyle name="Accent1 4" xfId="2962"/>
    <cellStyle name="Accent1 5" xfId="2963"/>
    <cellStyle name="Accent2" xfId="320"/>
    <cellStyle name="Accent2 - 20%" xfId="2964"/>
    <cellStyle name="Accent2 - 40%" xfId="2965"/>
    <cellStyle name="Accent2 - 60%" xfId="2966"/>
    <cellStyle name="Accent2 2" xfId="2967"/>
    <cellStyle name="Accent2 3" xfId="2968"/>
    <cellStyle name="Accent2 4" xfId="2969"/>
    <cellStyle name="Accent2 5" xfId="2970"/>
    <cellStyle name="Accent3" xfId="321"/>
    <cellStyle name="Accent3 - 20%" xfId="2971"/>
    <cellStyle name="Accent3 - 40%" xfId="2972"/>
    <cellStyle name="Accent3 - 60%" xfId="2973"/>
    <cellStyle name="Accent3 2" xfId="2974"/>
    <cellStyle name="Accent3 3" xfId="2975"/>
    <cellStyle name="Accent3 4" xfId="2976"/>
    <cellStyle name="Accent3 5" xfId="2977"/>
    <cellStyle name="Accent4" xfId="322"/>
    <cellStyle name="Accent4 - 20%" xfId="2978"/>
    <cellStyle name="Accent4 - 40%" xfId="2979"/>
    <cellStyle name="Accent4 - 60%" xfId="2980"/>
    <cellStyle name="Accent4 2" xfId="2981"/>
    <cellStyle name="Accent4 3" xfId="2982"/>
    <cellStyle name="Accent4 4" xfId="2983"/>
    <cellStyle name="Accent4 5" xfId="2984"/>
    <cellStyle name="Accent5" xfId="323"/>
    <cellStyle name="Accent5 - 20%" xfId="2985"/>
    <cellStyle name="Accent5 - 40%" xfId="2986"/>
    <cellStyle name="Accent5 - 60%" xfId="2987"/>
    <cellStyle name="Accent5 2" xfId="2988"/>
    <cellStyle name="Accent5 3" xfId="2989"/>
    <cellStyle name="Accent5 4" xfId="2990"/>
    <cellStyle name="Accent5 5" xfId="2991"/>
    <cellStyle name="Accent6" xfId="324"/>
    <cellStyle name="Accent6 - 20%" xfId="2992"/>
    <cellStyle name="Accent6 - 40%" xfId="2993"/>
    <cellStyle name="Accent6 - 60%" xfId="2994"/>
    <cellStyle name="Accent6 2" xfId="2995"/>
    <cellStyle name="Accent6 3" xfId="2996"/>
    <cellStyle name="Accent6 4" xfId="2997"/>
    <cellStyle name="Accent6 5" xfId="2998"/>
    <cellStyle name="Adjustable" xfId="325"/>
    <cellStyle name="Adjustable 2" xfId="326"/>
    <cellStyle name="Adjustable 2 10" xfId="327"/>
    <cellStyle name="Adjustable 2 2" xfId="328"/>
    <cellStyle name="Adjustable 2 3" xfId="329"/>
    <cellStyle name="Adjustable 2 4" xfId="330"/>
    <cellStyle name="Adjustable 2 5" xfId="331"/>
    <cellStyle name="Adjustable 2 6" xfId="332"/>
    <cellStyle name="Adjustable 2 7" xfId="333"/>
    <cellStyle name="Adjustable 2 8" xfId="334"/>
    <cellStyle name="Adjustable 2 9" xfId="335"/>
    <cellStyle name="Adjustable 3" xfId="336"/>
    <cellStyle name="Adjustable 3 10" xfId="337"/>
    <cellStyle name="Adjustable 3 2" xfId="338"/>
    <cellStyle name="Adjustable 3 3" xfId="339"/>
    <cellStyle name="Adjustable 3 4" xfId="340"/>
    <cellStyle name="Adjustable 3 5" xfId="341"/>
    <cellStyle name="Adjustable 3 6" xfId="342"/>
    <cellStyle name="Adjustable 3 7" xfId="343"/>
    <cellStyle name="Adjustable 3 8" xfId="344"/>
    <cellStyle name="Adjustable 3 9" xfId="345"/>
    <cellStyle name="Adjustable 4" xfId="346"/>
    <cellStyle name="Adjustable 4 10" xfId="347"/>
    <cellStyle name="Adjustable 4 2" xfId="348"/>
    <cellStyle name="Adjustable 4 3" xfId="349"/>
    <cellStyle name="Adjustable 4 4" xfId="350"/>
    <cellStyle name="Adjustable 4 5" xfId="351"/>
    <cellStyle name="Adjustable 4 6" xfId="352"/>
    <cellStyle name="Adjustable 4 7" xfId="353"/>
    <cellStyle name="Adjustable 4 8" xfId="354"/>
    <cellStyle name="Adjustable 4 9" xfId="355"/>
    <cellStyle name="Adjustable 5" xfId="356"/>
    <cellStyle name="Adjustable 5 10" xfId="357"/>
    <cellStyle name="Adjustable 5 2" xfId="358"/>
    <cellStyle name="Adjustable 5 3" xfId="359"/>
    <cellStyle name="Adjustable 5 4" xfId="360"/>
    <cellStyle name="Adjustable 5 5" xfId="361"/>
    <cellStyle name="Adjustable 5 6" xfId="362"/>
    <cellStyle name="Adjustable 5 7" xfId="363"/>
    <cellStyle name="Adjustable 5 8" xfId="364"/>
    <cellStyle name="Adjustable 5 9" xfId="365"/>
    <cellStyle name="Adjustable 6" xfId="366"/>
    <cellStyle name="Adjustable 6 10" xfId="367"/>
    <cellStyle name="Adjustable 6 2" xfId="368"/>
    <cellStyle name="Adjustable 6 3" xfId="369"/>
    <cellStyle name="Adjustable 6 4" xfId="370"/>
    <cellStyle name="Adjustable 6 5" xfId="371"/>
    <cellStyle name="Adjustable 6 6" xfId="372"/>
    <cellStyle name="Adjustable 6 7" xfId="373"/>
    <cellStyle name="Adjustable 6 8" xfId="374"/>
    <cellStyle name="Adjustable 6 9" xfId="375"/>
    <cellStyle name="Adjustable 7" xfId="376"/>
    <cellStyle name="Adjustable 7 10" xfId="377"/>
    <cellStyle name="Adjustable 7 2" xfId="378"/>
    <cellStyle name="Adjustable 7 3" xfId="379"/>
    <cellStyle name="Adjustable 7 4" xfId="380"/>
    <cellStyle name="Adjustable 7 5" xfId="381"/>
    <cellStyle name="Adjustable 7 6" xfId="382"/>
    <cellStyle name="Adjustable 7 7" xfId="383"/>
    <cellStyle name="Adjustable 7 8" xfId="384"/>
    <cellStyle name="Adjustable 7 9" xfId="385"/>
    <cellStyle name="Adjustable 8" xfId="386"/>
    <cellStyle name="Adjustable 8 10" xfId="387"/>
    <cellStyle name="Adjustable 8 2" xfId="388"/>
    <cellStyle name="Adjustable 8 3" xfId="389"/>
    <cellStyle name="Adjustable 8 4" xfId="390"/>
    <cellStyle name="Adjustable 8 5" xfId="391"/>
    <cellStyle name="Adjustable 8 6" xfId="392"/>
    <cellStyle name="Adjustable 8 7" xfId="393"/>
    <cellStyle name="Adjustable 8 8" xfId="394"/>
    <cellStyle name="Adjustable 8 9" xfId="395"/>
    <cellStyle name="AFE" xfId="2999"/>
    <cellStyle name="ano" xfId="396"/>
    <cellStyle name="anobase" xfId="3000"/>
    <cellStyle name="anos" xfId="3001"/>
    <cellStyle name="ARPS:Mensuel" xfId="3002"/>
    <cellStyle name="ARPS:Mensuel 2" xfId="3003"/>
    <cellStyle name="ARPS:Mensuel 3" xfId="3004"/>
    <cellStyle name="Bad" xfId="397"/>
    <cellStyle name="Bad 2" xfId="3005"/>
    <cellStyle name="Bad 3" xfId="3006"/>
    <cellStyle name="Bad 4" xfId="3007"/>
    <cellStyle name="Banner" xfId="2801"/>
    <cellStyle name="Best" xfId="398"/>
    <cellStyle name="Best 2" xfId="399"/>
    <cellStyle name="Best 2 10" xfId="400"/>
    <cellStyle name="Best 2 2" xfId="401"/>
    <cellStyle name="Best 2 3" xfId="402"/>
    <cellStyle name="Best 2 4" xfId="403"/>
    <cellStyle name="Best 2 5" xfId="404"/>
    <cellStyle name="Best 2 6" xfId="405"/>
    <cellStyle name="Best 2 7" xfId="406"/>
    <cellStyle name="Best 2 8" xfId="407"/>
    <cellStyle name="Best 2 9" xfId="408"/>
    <cellStyle name="Best 3" xfId="409"/>
    <cellStyle name="Best 3 10" xfId="410"/>
    <cellStyle name="Best 3 2" xfId="411"/>
    <cellStyle name="Best 3 3" xfId="412"/>
    <cellStyle name="Best 3 4" xfId="413"/>
    <cellStyle name="Best 3 5" xfId="414"/>
    <cellStyle name="Best 3 6" xfId="415"/>
    <cellStyle name="Best 3 7" xfId="416"/>
    <cellStyle name="Best 3 8" xfId="417"/>
    <cellStyle name="Best 3 9" xfId="418"/>
    <cellStyle name="Best 4" xfId="419"/>
    <cellStyle name="Best 4 10" xfId="420"/>
    <cellStyle name="Best 4 2" xfId="421"/>
    <cellStyle name="Best 4 3" xfId="422"/>
    <cellStyle name="Best 4 4" xfId="423"/>
    <cellStyle name="Best 4 5" xfId="424"/>
    <cellStyle name="Best 4 6" xfId="425"/>
    <cellStyle name="Best 4 7" xfId="426"/>
    <cellStyle name="Best 4 8" xfId="427"/>
    <cellStyle name="Best 4 9" xfId="428"/>
    <cellStyle name="Best 5" xfId="429"/>
    <cellStyle name="Best 5 10" xfId="430"/>
    <cellStyle name="Best 5 2" xfId="431"/>
    <cellStyle name="Best 5 3" xfId="432"/>
    <cellStyle name="Best 5 4" xfId="433"/>
    <cellStyle name="Best 5 5" xfId="434"/>
    <cellStyle name="Best 5 6" xfId="435"/>
    <cellStyle name="Best 5 7" xfId="436"/>
    <cellStyle name="Best 5 8" xfId="437"/>
    <cellStyle name="Best 5 9" xfId="438"/>
    <cellStyle name="Best 6" xfId="439"/>
    <cellStyle name="Best 6 10" xfId="440"/>
    <cellStyle name="Best 6 2" xfId="441"/>
    <cellStyle name="Best 6 3" xfId="442"/>
    <cellStyle name="Best 6 4" xfId="443"/>
    <cellStyle name="Best 6 5" xfId="444"/>
    <cellStyle name="Best 6 6" xfId="445"/>
    <cellStyle name="Best 6 7" xfId="446"/>
    <cellStyle name="Best 6 8" xfId="447"/>
    <cellStyle name="Best 6 9" xfId="448"/>
    <cellStyle name="Best 7" xfId="449"/>
    <cellStyle name="Best 7 10" xfId="450"/>
    <cellStyle name="Best 7 2" xfId="451"/>
    <cellStyle name="Best 7 3" xfId="452"/>
    <cellStyle name="Best 7 4" xfId="453"/>
    <cellStyle name="Best 7 5" xfId="454"/>
    <cellStyle name="Best 7 6" xfId="455"/>
    <cellStyle name="Best 7 7" xfId="456"/>
    <cellStyle name="Best 7 8" xfId="457"/>
    <cellStyle name="Best 7 9" xfId="458"/>
    <cellStyle name="Best 8" xfId="459"/>
    <cellStyle name="Best 8 10" xfId="460"/>
    <cellStyle name="Best 8 2" xfId="461"/>
    <cellStyle name="Best 8 3" xfId="462"/>
    <cellStyle name="Best 8 4" xfId="463"/>
    <cellStyle name="Best 8 5" xfId="464"/>
    <cellStyle name="Best 8 6" xfId="465"/>
    <cellStyle name="Best 8 7" xfId="466"/>
    <cellStyle name="Best 8 8" xfId="467"/>
    <cellStyle name="Best 8 9" xfId="468"/>
    <cellStyle name="Bold/Border" xfId="3008"/>
    <cellStyle name="Bold/Border 2" xfId="3009"/>
    <cellStyle name="Bold/Border 2 2" xfId="3010"/>
    <cellStyle name="Bold/Border 3" xfId="3011"/>
    <cellStyle name="Bold/Border 3 2" xfId="3012"/>
    <cellStyle name="Bold/Border 4" xfId="3013"/>
    <cellStyle name="Bol-Data" xfId="3014"/>
    <cellStyle name="bolet" xfId="3015"/>
    <cellStyle name="Bom 10" xfId="469"/>
    <cellStyle name="Bom 11" xfId="470"/>
    <cellStyle name="Bom 12" xfId="471"/>
    <cellStyle name="Bom 13" xfId="3016"/>
    <cellStyle name="Bom 14" xfId="3017"/>
    <cellStyle name="Bom 15" xfId="3018"/>
    <cellStyle name="Bom 16" xfId="3019"/>
    <cellStyle name="Bom 17" xfId="3020"/>
    <cellStyle name="Bom 2" xfId="472"/>
    <cellStyle name="Bom 2 2" xfId="473"/>
    <cellStyle name="Bom 2 3" xfId="474"/>
    <cellStyle name="Bom 2 4" xfId="475"/>
    <cellStyle name="Bom 2 5" xfId="476"/>
    <cellStyle name="Bom 2 6" xfId="477"/>
    <cellStyle name="Bom 3" xfId="478"/>
    <cellStyle name="Bom 3 2" xfId="2054"/>
    <cellStyle name="Bom 4" xfId="479"/>
    <cellStyle name="Bom 4 2" xfId="2055"/>
    <cellStyle name="Bom 5" xfId="480"/>
    <cellStyle name="Bom 5 2" xfId="2056"/>
    <cellStyle name="Bom 6" xfId="481"/>
    <cellStyle name="Bom 7" xfId="482"/>
    <cellStyle name="Bom 8" xfId="483"/>
    <cellStyle name="Bom 9" xfId="484"/>
    <cellStyle name="Bullet" xfId="3021"/>
    <cellStyle name="c" xfId="3022"/>
    <cellStyle name="c 2" xfId="3023"/>
    <cellStyle name="c 3" xfId="3024"/>
    <cellStyle name="Calculation" xfId="485"/>
    <cellStyle name="Calculation 2" xfId="3025"/>
    <cellStyle name="Calculation 2 2" xfId="3026"/>
    <cellStyle name="Calculation 2 2 2" xfId="3027"/>
    <cellStyle name="Calculation 2 3" xfId="3028"/>
    <cellStyle name="Calculation 2 3 2" xfId="3029"/>
    <cellStyle name="Calculation 2 4" xfId="3030"/>
    <cellStyle name="Calculation 2 4 2" xfId="3031"/>
    <cellStyle name="Calculation 3" xfId="3032"/>
    <cellStyle name="Calculation 3 2" xfId="3033"/>
    <cellStyle name="Calculation 3 2 2" xfId="3034"/>
    <cellStyle name="Calculation 3 3" xfId="3035"/>
    <cellStyle name="Calculation 3 3 2" xfId="3036"/>
    <cellStyle name="Calculation 3 4" xfId="3037"/>
    <cellStyle name="Calculation 3 4 2" xfId="3038"/>
    <cellStyle name="Calculation 4" xfId="3039"/>
    <cellStyle name="Calculation 4 2" xfId="3040"/>
    <cellStyle name="Calculation 4 2 2" xfId="3041"/>
    <cellStyle name="Calculation 4 3" xfId="3042"/>
    <cellStyle name="Calculation 4 3 2" xfId="3043"/>
    <cellStyle name="Calculation 4 4" xfId="3044"/>
    <cellStyle name="Calculation 4 4 2" xfId="3045"/>
    <cellStyle name="Cálculo 10" xfId="486"/>
    <cellStyle name="Cálculo 10 2" xfId="3046"/>
    <cellStyle name="Cálculo 10 2 2" xfId="3047"/>
    <cellStyle name="Cálculo 10 2 2 2" xfId="3048"/>
    <cellStyle name="Cálculo 10 2 3" xfId="3049"/>
    <cellStyle name="Cálculo 10 2 3 2" xfId="3050"/>
    <cellStyle name="Cálculo 10 2 4" xfId="3051"/>
    <cellStyle name="Cálculo 10 2 4 2" xfId="3052"/>
    <cellStyle name="Cálculo 10 3" xfId="3053"/>
    <cellStyle name="Cálculo 10 3 2" xfId="3054"/>
    <cellStyle name="Cálculo 10 3 2 2" xfId="3055"/>
    <cellStyle name="Cálculo 10 3 3" xfId="3056"/>
    <cellStyle name="Cálculo 10 3 3 2" xfId="3057"/>
    <cellStyle name="Cálculo 10 3 4" xfId="3058"/>
    <cellStyle name="Cálculo 10 3 4 2" xfId="3059"/>
    <cellStyle name="Cálculo 10 4" xfId="3060"/>
    <cellStyle name="Cálculo 10 4 2" xfId="3061"/>
    <cellStyle name="Cálculo 10 5" xfId="3062"/>
    <cellStyle name="Cálculo 10 5 2" xfId="3063"/>
    <cellStyle name="Cálculo 10 6" xfId="3064"/>
    <cellStyle name="Cálculo 10 6 2" xfId="3065"/>
    <cellStyle name="Cálculo 11" xfId="487"/>
    <cellStyle name="Cálculo 11 2" xfId="3066"/>
    <cellStyle name="Cálculo 11 2 2" xfId="3067"/>
    <cellStyle name="Cálculo 11 2 2 2" xfId="3068"/>
    <cellStyle name="Cálculo 11 2 3" xfId="3069"/>
    <cellStyle name="Cálculo 11 2 3 2" xfId="3070"/>
    <cellStyle name="Cálculo 11 2 4" xfId="3071"/>
    <cellStyle name="Cálculo 11 2 4 2" xfId="3072"/>
    <cellStyle name="Cálculo 11 3" xfId="3073"/>
    <cellStyle name="Cálculo 11 3 2" xfId="3074"/>
    <cellStyle name="Cálculo 11 3 2 2" xfId="3075"/>
    <cellStyle name="Cálculo 11 3 3" xfId="3076"/>
    <cellStyle name="Cálculo 11 3 3 2" xfId="3077"/>
    <cellStyle name="Cálculo 11 3 4" xfId="3078"/>
    <cellStyle name="Cálculo 11 3 4 2" xfId="3079"/>
    <cellStyle name="Cálculo 11 4" xfId="3080"/>
    <cellStyle name="Cálculo 11 4 2" xfId="3081"/>
    <cellStyle name="Cálculo 11 5" xfId="3082"/>
    <cellStyle name="Cálculo 11 5 2" xfId="3083"/>
    <cellStyle name="Cálculo 11 6" xfId="3084"/>
    <cellStyle name="Cálculo 11 6 2" xfId="3085"/>
    <cellStyle name="Cálculo 12" xfId="488"/>
    <cellStyle name="Cálculo 12 2" xfId="3086"/>
    <cellStyle name="Cálculo 12 2 2" xfId="3087"/>
    <cellStyle name="Cálculo 12 2 2 2" xfId="3088"/>
    <cellStyle name="Cálculo 12 2 3" xfId="3089"/>
    <cellStyle name="Cálculo 12 2 3 2" xfId="3090"/>
    <cellStyle name="Cálculo 12 2 4" xfId="3091"/>
    <cellStyle name="Cálculo 12 2 4 2" xfId="3092"/>
    <cellStyle name="Cálculo 12 3" xfId="3093"/>
    <cellStyle name="Cálculo 12 3 2" xfId="3094"/>
    <cellStyle name="Cálculo 12 3 2 2" xfId="3095"/>
    <cellStyle name="Cálculo 12 3 3" xfId="3096"/>
    <cellStyle name="Cálculo 12 3 3 2" xfId="3097"/>
    <cellStyle name="Cálculo 12 3 4" xfId="3098"/>
    <cellStyle name="Cálculo 12 3 4 2" xfId="3099"/>
    <cellStyle name="Cálculo 12 4" xfId="3100"/>
    <cellStyle name="Cálculo 12 4 2" xfId="3101"/>
    <cellStyle name="Cálculo 12 5" xfId="3102"/>
    <cellStyle name="Cálculo 12 5 2" xfId="3103"/>
    <cellStyle name="Cálculo 12 6" xfId="3104"/>
    <cellStyle name="Cálculo 12 6 2" xfId="3105"/>
    <cellStyle name="Cálculo 13" xfId="3106"/>
    <cellStyle name="Cálculo 13 2" xfId="3107"/>
    <cellStyle name="Cálculo 13 2 2" xfId="3108"/>
    <cellStyle name="Cálculo 13 2 2 2" xfId="3109"/>
    <cellStyle name="Cálculo 13 2 3" xfId="3110"/>
    <cellStyle name="Cálculo 13 2 3 2" xfId="3111"/>
    <cellStyle name="Cálculo 13 2 4" xfId="3112"/>
    <cellStyle name="Cálculo 13 2 4 2" xfId="3113"/>
    <cellStyle name="Cálculo 13 3" xfId="3114"/>
    <cellStyle name="Cálculo 13 3 2" xfId="3115"/>
    <cellStyle name="Cálculo 13 3 2 2" xfId="3116"/>
    <cellStyle name="Cálculo 13 3 3" xfId="3117"/>
    <cellStyle name="Cálculo 13 3 3 2" xfId="3118"/>
    <cellStyle name="Cálculo 13 3 4" xfId="3119"/>
    <cellStyle name="Cálculo 13 3 4 2" xfId="3120"/>
    <cellStyle name="Cálculo 13 4" xfId="3121"/>
    <cellStyle name="Cálculo 13 4 2" xfId="3122"/>
    <cellStyle name="Cálculo 13 5" xfId="3123"/>
    <cellStyle name="Cálculo 13 5 2" xfId="3124"/>
    <cellStyle name="Cálculo 13 6" xfId="3125"/>
    <cellStyle name="Cálculo 13 6 2" xfId="3126"/>
    <cellStyle name="Cálculo 14" xfId="3127"/>
    <cellStyle name="Cálculo 14 2" xfId="3128"/>
    <cellStyle name="Cálculo 14 2 2" xfId="3129"/>
    <cellStyle name="Cálculo 14 2 2 2" xfId="3130"/>
    <cellStyle name="Cálculo 14 2 3" xfId="3131"/>
    <cellStyle name="Cálculo 14 2 3 2" xfId="3132"/>
    <cellStyle name="Cálculo 14 2 4" xfId="3133"/>
    <cellStyle name="Cálculo 14 2 4 2" xfId="3134"/>
    <cellStyle name="Cálculo 14 3" xfId="3135"/>
    <cellStyle name="Cálculo 14 3 2" xfId="3136"/>
    <cellStyle name="Cálculo 14 3 2 2" xfId="3137"/>
    <cellStyle name="Cálculo 14 3 3" xfId="3138"/>
    <cellStyle name="Cálculo 14 3 3 2" xfId="3139"/>
    <cellStyle name="Cálculo 14 3 4" xfId="3140"/>
    <cellStyle name="Cálculo 14 3 4 2" xfId="3141"/>
    <cellStyle name="Cálculo 14 4" xfId="3142"/>
    <cellStyle name="Cálculo 14 4 2" xfId="3143"/>
    <cellStyle name="Cálculo 14 5" xfId="3144"/>
    <cellStyle name="Cálculo 14 5 2" xfId="3145"/>
    <cellStyle name="Cálculo 14 6" xfId="3146"/>
    <cellStyle name="Cálculo 14 6 2" xfId="3147"/>
    <cellStyle name="Cálculo 15" xfId="3148"/>
    <cellStyle name="Cálculo 15 2" xfId="3149"/>
    <cellStyle name="Cálculo 15 2 2" xfId="3150"/>
    <cellStyle name="Cálculo 15 2 2 2" xfId="3151"/>
    <cellStyle name="Cálculo 15 2 3" xfId="3152"/>
    <cellStyle name="Cálculo 15 2 3 2" xfId="3153"/>
    <cellStyle name="Cálculo 15 2 4" xfId="3154"/>
    <cellStyle name="Cálculo 15 2 4 2" xfId="3155"/>
    <cellStyle name="Cálculo 15 3" xfId="3156"/>
    <cellStyle name="Cálculo 15 3 2" xfId="3157"/>
    <cellStyle name="Cálculo 15 3 2 2" xfId="3158"/>
    <cellStyle name="Cálculo 15 3 3" xfId="3159"/>
    <cellStyle name="Cálculo 15 3 3 2" xfId="3160"/>
    <cellStyle name="Cálculo 15 3 4" xfId="3161"/>
    <cellStyle name="Cálculo 15 3 4 2" xfId="3162"/>
    <cellStyle name="Cálculo 15 4" xfId="3163"/>
    <cellStyle name="Cálculo 15 4 2" xfId="3164"/>
    <cellStyle name="Cálculo 15 5" xfId="3165"/>
    <cellStyle name="Cálculo 15 5 2" xfId="3166"/>
    <cellStyle name="Cálculo 15 6" xfId="3167"/>
    <cellStyle name="Cálculo 15 6 2" xfId="3168"/>
    <cellStyle name="Cálculo 16" xfId="3169"/>
    <cellStyle name="Cálculo 16 2" xfId="3170"/>
    <cellStyle name="Cálculo 16 2 2" xfId="3171"/>
    <cellStyle name="Cálculo 16 2 2 2" xfId="3172"/>
    <cellStyle name="Cálculo 16 2 3" xfId="3173"/>
    <cellStyle name="Cálculo 16 2 3 2" xfId="3174"/>
    <cellStyle name="Cálculo 16 2 4" xfId="3175"/>
    <cellStyle name="Cálculo 16 2 4 2" xfId="3176"/>
    <cellStyle name="Cálculo 16 3" xfId="3177"/>
    <cellStyle name="Cálculo 16 3 2" xfId="3178"/>
    <cellStyle name="Cálculo 16 3 2 2" xfId="3179"/>
    <cellStyle name="Cálculo 16 3 3" xfId="3180"/>
    <cellStyle name="Cálculo 16 3 3 2" xfId="3181"/>
    <cellStyle name="Cálculo 16 3 4" xfId="3182"/>
    <cellStyle name="Cálculo 16 3 4 2" xfId="3183"/>
    <cellStyle name="Cálculo 16 4" xfId="3184"/>
    <cellStyle name="Cálculo 16 4 2" xfId="3185"/>
    <cellStyle name="Cálculo 16 5" xfId="3186"/>
    <cellStyle name="Cálculo 16 5 2" xfId="3187"/>
    <cellStyle name="Cálculo 16 6" xfId="3188"/>
    <cellStyle name="Cálculo 16 6 2" xfId="3189"/>
    <cellStyle name="Cálculo 2" xfId="489"/>
    <cellStyle name="Cálculo 2 10" xfId="3190"/>
    <cellStyle name="Cálculo 2 10 2" xfId="3191"/>
    <cellStyle name="Cálculo 2 11" xfId="3192"/>
    <cellStyle name="Cálculo 2 11 2" xfId="3193"/>
    <cellStyle name="Cálculo 2 2" xfId="490"/>
    <cellStyle name="Cálculo 2 2 10" xfId="3194"/>
    <cellStyle name="Cálculo 2 2 10 2" xfId="3195"/>
    <cellStyle name="Cálculo 2 2 2" xfId="2057"/>
    <cellStyle name="Cálculo 2 2 2 2" xfId="2058"/>
    <cellStyle name="Cálculo 2 2 2 2 2" xfId="3196"/>
    <cellStyle name="Cálculo 2 2 2 2 2 2" xfId="3197"/>
    <cellStyle name="Cálculo 2 2 2 2 2 2 2" xfId="3198"/>
    <cellStyle name="Cálculo 2 2 2 2 2 3" xfId="3199"/>
    <cellStyle name="Cálculo 2 2 2 2 2 3 2" xfId="3200"/>
    <cellStyle name="Cálculo 2 2 2 2 2 4" xfId="3201"/>
    <cellStyle name="Cálculo 2 2 2 2 2 4 2" xfId="3202"/>
    <cellStyle name="Cálculo 2 2 2 2 3" xfId="3203"/>
    <cellStyle name="Cálculo 2 2 2 2 3 2" xfId="3204"/>
    <cellStyle name="Cálculo 2 2 2 2 3 2 2" xfId="3205"/>
    <cellStyle name="Cálculo 2 2 2 2 3 3" xfId="3206"/>
    <cellStyle name="Cálculo 2 2 2 2 3 3 2" xfId="3207"/>
    <cellStyle name="Cálculo 2 2 2 2 3 4" xfId="3208"/>
    <cellStyle name="Cálculo 2 2 2 2 3 4 2" xfId="3209"/>
    <cellStyle name="Cálculo 2 2 2 2 4" xfId="3210"/>
    <cellStyle name="Cálculo 2 2 2 2 4 2" xfId="3211"/>
    <cellStyle name="Cálculo 2 2 2 2 5" xfId="3212"/>
    <cellStyle name="Cálculo 2 2 2 2 5 2" xfId="3213"/>
    <cellStyle name="Cálculo 2 2 2 2 6" xfId="3214"/>
    <cellStyle name="Cálculo 2 2 2 2 6 2" xfId="3215"/>
    <cellStyle name="Cálculo 2 2 2 3" xfId="3216"/>
    <cellStyle name="Cálculo 2 2 2 3 2" xfId="3217"/>
    <cellStyle name="Cálculo 2 2 2 3 2 2" xfId="3218"/>
    <cellStyle name="Cálculo 2 2 2 3 3" xfId="3219"/>
    <cellStyle name="Cálculo 2 2 2 3 3 2" xfId="3220"/>
    <cellStyle name="Cálculo 2 2 2 3 4" xfId="3221"/>
    <cellStyle name="Cálculo 2 2 2 3 4 2" xfId="3222"/>
    <cellStyle name="Cálculo 2 2 2 4" xfId="3223"/>
    <cellStyle name="Cálculo 2 2 2 4 2" xfId="3224"/>
    <cellStyle name="Cálculo 2 2 2 4 2 2" xfId="3225"/>
    <cellStyle name="Cálculo 2 2 2 4 3" xfId="3226"/>
    <cellStyle name="Cálculo 2 2 2 4 3 2" xfId="3227"/>
    <cellStyle name="Cálculo 2 2 2 4 4" xfId="3228"/>
    <cellStyle name="Cálculo 2 2 2 4 4 2" xfId="3229"/>
    <cellStyle name="Cálculo 2 2 2 5" xfId="3230"/>
    <cellStyle name="Cálculo 2 2 2 5 2" xfId="3231"/>
    <cellStyle name="Cálculo 2 2 2 6" xfId="3232"/>
    <cellStyle name="Cálculo 2 2 2 6 2" xfId="3233"/>
    <cellStyle name="Cálculo 2 2 2 7" xfId="3234"/>
    <cellStyle name="Cálculo 2 2 2 7 2" xfId="3235"/>
    <cellStyle name="Cálculo 2 2 3" xfId="2059"/>
    <cellStyle name="Cálculo 2 2 3 2" xfId="2060"/>
    <cellStyle name="Cálculo 2 2 3 2 2" xfId="3236"/>
    <cellStyle name="Cálculo 2 2 3 2 2 2" xfId="3237"/>
    <cellStyle name="Cálculo 2 2 3 2 2 2 2" xfId="3238"/>
    <cellStyle name="Cálculo 2 2 3 2 2 3" xfId="3239"/>
    <cellStyle name="Cálculo 2 2 3 2 2 3 2" xfId="3240"/>
    <cellStyle name="Cálculo 2 2 3 2 2 4" xfId="3241"/>
    <cellStyle name="Cálculo 2 2 3 2 2 4 2" xfId="3242"/>
    <cellStyle name="Cálculo 2 2 3 2 3" xfId="3243"/>
    <cellStyle name="Cálculo 2 2 3 2 3 2" xfId="3244"/>
    <cellStyle name="Cálculo 2 2 3 2 3 2 2" xfId="3245"/>
    <cellStyle name="Cálculo 2 2 3 2 3 3" xfId="3246"/>
    <cellStyle name="Cálculo 2 2 3 2 3 3 2" xfId="3247"/>
    <cellStyle name="Cálculo 2 2 3 2 3 4" xfId="3248"/>
    <cellStyle name="Cálculo 2 2 3 2 3 4 2" xfId="3249"/>
    <cellStyle name="Cálculo 2 2 3 2 4" xfId="3250"/>
    <cellStyle name="Cálculo 2 2 3 2 4 2" xfId="3251"/>
    <cellStyle name="Cálculo 2 2 3 2 5" xfId="3252"/>
    <cellStyle name="Cálculo 2 2 3 2 5 2" xfId="3253"/>
    <cellStyle name="Cálculo 2 2 3 2 6" xfId="3254"/>
    <cellStyle name="Cálculo 2 2 3 2 6 2" xfId="3255"/>
    <cellStyle name="Cálculo 2 2 3 3" xfId="3256"/>
    <cellStyle name="Cálculo 2 2 3 3 2" xfId="3257"/>
    <cellStyle name="Cálculo 2 2 3 3 2 2" xfId="3258"/>
    <cellStyle name="Cálculo 2 2 3 3 3" xfId="3259"/>
    <cellStyle name="Cálculo 2 2 3 3 3 2" xfId="3260"/>
    <cellStyle name="Cálculo 2 2 3 3 4" xfId="3261"/>
    <cellStyle name="Cálculo 2 2 3 3 4 2" xfId="3262"/>
    <cellStyle name="Cálculo 2 2 3 4" xfId="3263"/>
    <cellStyle name="Cálculo 2 2 3 4 2" xfId="3264"/>
    <cellStyle name="Cálculo 2 2 3 4 2 2" xfId="3265"/>
    <cellStyle name="Cálculo 2 2 3 4 3" xfId="3266"/>
    <cellStyle name="Cálculo 2 2 3 4 3 2" xfId="3267"/>
    <cellStyle name="Cálculo 2 2 3 4 4" xfId="3268"/>
    <cellStyle name="Cálculo 2 2 3 4 4 2" xfId="3269"/>
    <cellStyle name="Cálculo 2 2 3 5" xfId="3270"/>
    <cellStyle name="Cálculo 2 2 3 5 2" xfId="3271"/>
    <cellStyle name="Cálculo 2 2 3 6" xfId="3272"/>
    <cellStyle name="Cálculo 2 2 3 6 2" xfId="3273"/>
    <cellStyle name="Cálculo 2 2 3 7" xfId="3274"/>
    <cellStyle name="Cálculo 2 2 3 7 2" xfId="3275"/>
    <cellStyle name="Cálculo 2 2 4" xfId="2061"/>
    <cellStyle name="Cálculo 2 2 4 2" xfId="2062"/>
    <cellStyle name="Cálculo 2 2 4 2 2" xfId="3276"/>
    <cellStyle name="Cálculo 2 2 4 2 2 2" xfId="3277"/>
    <cellStyle name="Cálculo 2 2 4 2 2 2 2" xfId="3278"/>
    <cellStyle name="Cálculo 2 2 4 2 2 3" xfId="3279"/>
    <cellStyle name="Cálculo 2 2 4 2 2 3 2" xfId="3280"/>
    <cellStyle name="Cálculo 2 2 4 2 2 4" xfId="3281"/>
    <cellStyle name="Cálculo 2 2 4 2 2 4 2" xfId="3282"/>
    <cellStyle name="Cálculo 2 2 4 2 3" xfId="3283"/>
    <cellStyle name="Cálculo 2 2 4 2 3 2" xfId="3284"/>
    <cellStyle name="Cálculo 2 2 4 2 3 2 2" xfId="3285"/>
    <cellStyle name="Cálculo 2 2 4 2 3 3" xfId="3286"/>
    <cellStyle name="Cálculo 2 2 4 2 3 3 2" xfId="3287"/>
    <cellStyle name="Cálculo 2 2 4 2 3 4" xfId="3288"/>
    <cellStyle name="Cálculo 2 2 4 2 3 4 2" xfId="3289"/>
    <cellStyle name="Cálculo 2 2 4 2 4" xfId="3290"/>
    <cellStyle name="Cálculo 2 2 4 2 4 2" xfId="3291"/>
    <cellStyle name="Cálculo 2 2 4 2 5" xfId="3292"/>
    <cellStyle name="Cálculo 2 2 4 2 5 2" xfId="3293"/>
    <cellStyle name="Cálculo 2 2 4 2 6" xfId="3294"/>
    <cellStyle name="Cálculo 2 2 4 2 6 2" xfId="3295"/>
    <cellStyle name="Cálculo 2 2 4 3" xfId="3296"/>
    <cellStyle name="Cálculo 2 2 4 3 2" xfId="3297"/>
    <cellStyle name="Cálculo 2 2 4 3 2 2" xfId="3298"/>
    <cellStyle name="Cálculo 2 2 4 3 3" xfId="3299"/>
    <cellStyle name="Cálculo 2 2 4 3 3 2" xfId="3300"/>
    <cellStyle name="Cálculo 2 2 4 3 4" xfId="3301"/>
    <cellStyle name="Cálculo 2 2 4 3 4 2" xfId="3302"/>
    <cellStyle name="Cálculo 2 2 4 4" xfId="3303"/>
    <cellStyle name="Cálculo 2 2 4 4 2" xfId="3304"/>
    <cellStyle name="Cálculo 2 2 4 4 2 2" xfId="3305"/>
    <cellStyle name="Cálculo 2 2 4 4 3" xfId="3306"/>
    <cellStyle name="Cálculo 2 2 4 4 3 2" xfId="3307"/>
    <cellStyle name="Cálculo 2 2 4 4 4" xfId="3308"/>
    <cellStyle name="Cálculo 2 2 4 4 4 2" xfId="3309"/>
    <cellStyle name="Cálculo 2 2 4 5" xfId="3310"/>
    <cellStyle name="Cálculo 2 2 4 5 2" xfId="3311"/>
    <cellStyle name="Cálculo 2 2 4 6" xfId="3312"/>
    <cellStyle name="Cálculo 2 2 4 6 2" xfId="3313"/>
    <cellStyle name="Cálculo 2 2 4 7" xfId="3314"/>
    <cellStyle name="Cálculo 2 2 4 7 2" xfId="3315"/>
    <cellStyle name="Cálculo 2 2 5" xfId="2063"/>
    <cellStyle name="Cálculo 2 2 5 2" xfId="3316"/>
    <cellStyle name="Cálculo 2 2 5 2 2" xfId="3317"/>
    <cellStyle name="Cálculo 2 2 5 2 2 2" xfId="3318"/>
    <cellStyle name="Cálculo 2 2 5 2 3" xfId="3319"/>
    <cellStyle name="Cálculo 2 2 5 2 3 2" xfId="3320"/>
    <cellStyle name="Cálculo 2 2 5 2 4" xfId="3321"/>
    <cellStyle name="Cálculo 2 2 5 2 4 2" xfId="3322"/>
    <cellStyle name="Cálculo 2 2 5 3" xfId="3323"/>
    <cellStyle name="Cálculo 2 2 5 3 2" xfId="3324"/>
    <cellStyle name="Cálculo 2 2 5 3 2 2" xfId="3325"/>
    <cellStyle name="Cálculo 2 2 5 3 3" xfId="3326"/>
    <cellStyle name="Cálculo 2 2 5 3 3 2" xfId="3327"/>
    <cellStyle name="Cálculo 2 2 5 3 4" xfId="3328"/>
    <cellStyle name="Cálculo 2 2 5 3 4 2" xfId="3329"/>
    <cellStyle name="Cálculo 2 2 5 4" xfId="3330"/>
    <cellStyle name="Cálculo 2 2 5 4 2" xfId="3331"/>
    <cellStyle name="Cálculo 2 2 5 5" xfId="3332"/>
    <cellStyle name="Cálculo 2 2 5 5 2" xfId="3333"/>
    <cellStyle name="Cálculo 2 2 5 6" xfId="3334"/>
    <cellStyle name="Cálculo 2 2 5 6 2" xfId="3335"/>
    <cellStyle name="Cálculo 2 2 6" xfId="3336"/>
    <cellStyle name="Cálculo 2 2 6 2" xfId="3337"/>
    <cellStyle name="Cálculo 2 2 6 2 2" xfId="3338"/>
    <cellStyle name="Cálculo 2 2 6 3" xfId="3339"/>
    <cellStyle name="Cálculo 2 2 6 3 2" xfId="3340"/>
    <cellStyle name="Cálculo 2 2 6 4" xfId="3341"/>
    <cellStyle name="Cálculo 2 2 6 4 2" xfId="3342"/>
    <cellStyle name="Cálculo 2 2 7" xfId="3343"/>
    <cellStyle name="Cálculo 2 2 7 2" xfId="3344"/>
    <cellStyle name="Cálculo 2 2 7 2 2" xfId="3345"/>
    <cellStyle name="Cálculo 2 2 7 3" xfId="3346"/>
    <cellStyle name="Cálculo 2 2 7 3 2" xfId="3347"/>
    <cellStyle name="Cálculo 2 2 7 4" xfId="3348"/>
    <cellStyle name="Cálculo 2 2 7 4 2" xfId="3349"/>
    <cellStyle name="Cálculo 2 2 8" xfId="3350"/>
    <cellStyle name="Cálculo 2 2 8 2" xfId="3351"/>
    <cellStyle name="Cálculo 2 2 9" xfId="3352"/>
    <cellStyle name="Cálculo 2 2 9 2" xfId="3353"/>
    <cellStyle name="Cálculo 2 3" xfId="491"/>
    <cellStyle name="Cálculo 2 3 2" xfId="2064"/>
    <cellStyle name="Cálculo 2 3 2 2" xfId="3354"/>
    <cellStyle name="Cálculo 2 3 2 2 2" xfId="3355"/>
    <cellStyle name="Cálculo 2 3 2 2 2 2" xfId="3356"/>
    <cellStyle name="Cálculo 2 3 2 2 3" xfId="3357"/>
    <cellStyle name="Cálculo 2 3 2 2 3 2" xfId="3358"/>
    <cellStyle name="Cálculo 2 3 2 2 4" xfId="3359"/>
    <cellStyle name="Cálculo 2 3 2 2 4 2" xfId="3360"/>
    <cellStyle name="Cálculo 2 3 2 3" xfId="3361"/>
    <cellStyle name="Cálculo 2 3 2 3 2" xfId="3362"/>
    <cellStyle name="Cálculo 2 3 2 3 2 2" xfId="3363"/>
    <cellStyle name="Cálculo 2 3 2 3 3" xfId="3364"/>
    <cellStyle name="Cálculo 2 3 2 3 3 2" xfId="3365"/>
    <cellStyle name="Cálculo 2 3 2 3 4" xfId="3366"/>
    <cellStyle name="Cálculo 2 3 2 3 4 2" xfId="3367"/>
    <cellStyle name="Cálculo 2 3 2 4" xfId="3368"/>
    <cellStyle name="Cálculo 2 3 2 4 2" xfId="3369"/>
    <cellStyle name="Cálculo 2 3 2 5" xfId="3370"/>
    <cellStyle name="Cálculo 2 3 2 5 2" xfId="3371"/>
    <cellStyle name="Cálculo 2 3 2 6" xfId="3372"/>
    <cellStyle name="Cálculo 2 3 2 6 2" xfId="3373"/>
    <cellStyle name="Cálculo 2 3 3" xfId="3374"/>
    <cellStyle name="Cálculo 2 3 3 2" xfId="3375"/>
    <cellStyle name="Cálculo 2 3 3 2 2" xfId="3376"/>
    <cellStyle name="Cálculo 2 3 3 3" xfId="3377"/>
    <cellStyle name="Cálculo 2 3 3 3 2" xfId="3378"/>
    <cellStyle name="Cálculo 2 3 3 4" xfId="3379"/>
    <cellStyle name="Cálculo 2 3 3 4 2" xfId="3380"/>
    <cellStyle name="Cálculo 2 3 4" xfId="3381"/>
    <cellStyle name="Cálculo 2 3 4 2" xfId="3382"/>
    <cellStyle name="Cálculo 2 3 4 2 2" xfId="3383"/>
    <cellStyle name="Cálculo 2 3 4 3" xfId="3384"/>
    <cellStyle name="Cálculo 2 3 4 3 2" xfId="3385"/>
    <cellStyle name="Cálculo 2 3 4 4" xfId="3386"/>
    <cellStyle name="Cálculo 2 3 4 4 2" xfId="3387"/>
    <cellStyle name="Cálculo 2 3 5" xfId="3388"/>
    <cellStyle name="Cálculo 2 3 5 2" xfId="3389"/>
    <cellStyle name="Cálculo 2 3 6" xfId="3390"/>
    <cellStyle name="Cálculo 2 3 6 2" xfId="3391"/>
    <cellStyle name="Cálculo 2 3 7" xfId="3392"/>
    <cellStyle name="Cálculo 2 3 7 2" xfId="3393"/>
    <cellStyle name="Cálculo 2 4" xfId="492"/>
    <cellStyle name="Cálculo 2 4 2" xfId="2065"/>
    <cellStyle name="Cálculo 2 4 2 2" xfId="3394"/>
    <cellStyle name="Cálculo 2 4 2 2 2" xfId="3395"/>
    <cellStyle name="Cálculo 2 4 2 2 2 2" xfId="3396"/>
    <cellStyle name="Cálculo 2 4 2 2 3" xfId="3397"/>
    <cellStyle name="Cálculo 2 4 2 2 3 2" xfId="3398"/>
    <cellStyle name="Cálculo 2 4 2 2 4" xfId="3399"/>
    <cellStyle name="Cálculo 2 4 2 2 4 2" xfId="3400"/>
    <cellStyle name="Cálculo 2 4 2 3" xfId="3401"/>
    <cellStyle name="Cálculo 2 4 2 3 2" xfId="3402"/>
    <cellStyle name="Cálculo 2 4 2 3 2 2" xfId="3403"/>
    <cellStyle name="Cálculo 2 4 2 3 3" xfId="3404"/>
    <cellStyle name="Cálculo 2 4 2 3 3 2" xfId="3405"/>
    <cellStyle name="Cálculo 2 4 2 3 4" xfId="3406"/>
    <cellStyle name="Cálculo 2 4 2 3 4 2" xfId="3407"/>
    <cellStyle name="Cálculo 2 4 2 4" xfId="3408"/>
    <cellStyle name="Cálculo 2 4 2 4 2" xfId="3409"/>
    <cellStyle name="Cálculo 2 4 2 5" xfId="3410"/>
    <cellStyle name="Cálculo 2 4 2 5 2" xfId="3411"/>
    <cellStyle name="Cálculo 2 4 2 6" xfId="3412"/>
    <cellStyle name="Cálculo 2 4 2 6 2" xfId="3413"/>
    <cellStyle name="Cálculo 2 4 3" xfId="3414"/>
    <cellStyle name="Cálculo 2 4 3 2" xfId="3415"/>
    <cellStyle name="Cálculo 2 4 3 2 2" xfId="3416"/>
    <cellStyle name="Cálculo 2 4 3 3" xfId="3417"/>
    <cellStyle name="Cálculo 2 4 3 3 2" xfId="3418"/>
    <cellStyle name="Cálculo 2 4 3 4" xfId="3419"/>
    <cellStyle name="Cálculo 2 4 3 4 2" xfId="3420"/>
    <cellStyle name="Cálculo 2 4 4" xfId="3421"/>
    <cellStyle name="Cálculo 2 4 4 2" xfId="3422"/>
    <cellStyle name="Cálculo 2 4 4 2 2" xfId="3423"/>
    <cellStyle name="Cálculo 2 4 4 3" xfId="3424"/>
    <cellStyle name="Cálculo 2 4 4 3 2" xfId="3425"/>
    <cellStyle name="Cálculo 2 4 4 4" xfId="3426"/>
    <cellStyle name="Cálculo 2 4 4 4 2" xfId="3427"/>
    <cellStyle name="Cálculo 2 4 5" xfId="3428"/>
    <cellStyle name="Cálculo 2 4 5 2" xfId="3429"/>
    <cellStyle name="Cálculo 2 4 6" xfId="3430"/>
    <cellStyle name="Cálculo 2 4 6 2" xfId="3431"/>
    <cellStyle name="Cálculo 2 4 7" xfId="3432"/>
    <cellStyle name="Cálculo 2 4 7 2" xfId="3433"/>
    <cellStyle name="Cálculo 2 5" xfId="493"/>
    <cellStyle name="Cálculo 2 5 2" xfId="2066"/>
    <cellStyle name="Cálculo 2 5 2 2" xfId="3434"/>
    <cellStyle name="Cálculo 2 5 2 2 2" xfId="3435"/>
    <cellStyle name="Cálculo 2 5 2 2 2 2" xfId="3436"/>
    <cellStyle name="Cálculo 2 5 2 2 3" xfId="3437"/>
    <cellStyle name="Cálculo 2 5 2 2 3 2" xfId="3438"/>
    <cellStyle name="Cálculo 2 5 2 2 4" xfId="3439"/>
    <cellStyle name="Cálculo 2 5 2 2 4 2" xfId="3440"/>
    <cellStyle name="Cálculo 2 5 2 3" xfId="3441"/>
    <cellStyle name="Cálculo 2 5 2 3 2" xfId="3442"/>
    <cellStyle name="Cálculo 2 5 2 3 2 2" xfId="3443"/>
    <cellStyle name="Cálculo 2 5 2 3 3" xfId="3444"/>
    <cellStyle name="Cálculo 2 5 2 3 3 2" xfId="3445"/>
    <cellStyle name="Cálculo 2 5 2 3 4" xfId="3446"/>
    <cellStyle name="Cálculo 2 5 2 3 4 2" xfId="3447"/>
    <cellStyle name="Cálculo 2 5 2 4" xfId="3448"/>
    <cellStyle name="Cálculo 2 5 2 4 2" xfId="3449"/>
    <cellStyle name="Cálculo 2 5 2 5" xfId="3450"/>
    <cellStyle name="Cálculo 2 5 2 5 2" xfId="3451"/>
    <cellStyle name="Cálculo 2 5 2 6" xfId="3452"/>
    <cellStyle name="Cálculo 2 5 2 6 2" xfId="3453"/>
    <cellStyle name="Cálculo 2 5 3" xfId="3454"/>
    <cellStyle name="Cálculo 2 5 3 2" xfId="3455"/>
    <cellStyle name="Cálculo 2 5 3 2 2" xfId="3456"/>
    <cellStyle name="Cálculo 2 5 3 3" xfId="3457"/>
    <cellStyle name="Cálculo 2 5 3 3 2" xfId="3458"/>
    <cellStyle name="Cálculo 2 5 3 4" xfId="3459"/>
    <cellStyle name="Cálculo 2 5 3 4 2" xfId="3460"/>
    <cellStyle name="Cálculo 2 5 4" xfId="3461"/>
    <cellStyle name="Cálculo 2 5 4 2" xfId="3462"/>
    <cellStyle name="Cálculo 2 5 4 2 2" xfId="3463"/>
    <cellStyle name="Cálculo 2 5 4 3" xfId="3464"/>
    <cellStyle name="Cálculo 2 5 4 3 2" xfId="3465"/>
    <cellStyle name="Cálculo 2 5 4 4" xfId="3466"/>
    <cellStyle name="Cálculo 2 5 4 4 2" xfId="3467"/>
    <cellStyle name="Cálculo 2 5 5" xfId="3468"/>
    <cellStyle name="Cálculo 2 5 5 2" xfId="3469"/>
    <cellStyle name="Cálculo 2 5 6" xfId="3470"/>
    <cellStyle name="Cálculo 2 5 6 2" xfId="3471"/>
    <cellStyle name="Cálculo 2 5 7" xfId="3472"/>
    <cellStyle name="Cálculo 2 5 7 2" xfId="3473"/>
    <cellStyle name="Cálculo 2 6" xfId="494"/>
    <cellStyle name="Cálculo 2 6 2" xfId="3474"/>
    <cellStyle name="Cálculo 2 6 2 2" xfId="3475"/>
    <cellStyle name="Cálculo 2 6 2 2 2" xfId="3476"/>
    <cellStyle name="Cálculo 2 6 2 3" xfId="3477"/>
    <cellStyle name="Cálculo 2 6 2 3 2" xfId="3478"/>
    <cellStyle name="Cálculo 2 6 2 4" xfId="3479"/>
    <cellStyle name="Cálculo 2 6 2 4 2" xfId="3480"/>
    <cellStyle name="Cálculo 2 6 3" xfId="3481"/>
    <cellStyle name="Cálculo 2 6 3 2" xfId="3482"/>
    <cellStyle name="Cálculo 2 6 3 2 2" xfId="3483"/>
    <cellStyle name="Cálculo 2 6 3 3" xfId="3484"/>
    <cellStyle name="Cálculo 2 6 3 3 2" xfId="3485"/>
    <cellStyle name="Cálculo 2 6 3 4" xfId="3486"/>
    <cellStyle name="Cálculo 2 6 3 4 2" xfId="3487"/>
    <cellStyle name="Cálculo 2 6 4" xfId="3488"/>
    <cellStyle name="Cálculo 2 6 4 2" xfId="3489"/>
    <cellStyle name="Cálculo 2 6 5" xfId="3490"/>
    <cellStyle name="Cálculo 2 6 5 2" xfId="3491"/>
    <cellStyle name="Cálculo 2 6 6" xfId="3492"/>
    <cellStyle name="Cálculo 2 6 6 2" xfId="3493"/>
    <cellStyle name="Cálculo 2 7" xfId="3494"/>
    <cellStyle name="Cálculo 2 7 2" xfId="3495"/>
    <cellStyle name="Cálculo 2 7 2 2" xfId="3496"/>
    <cellStyle name="Cálculo 2 7 3" xfId="3497"/>
    <cellStyle name="Cálculo 2 7 3 2" xfId="3498"/>
    <cellStyle name="Cálculo 2 7 4" xfId="3499"/>
    <cellStyle name="Cálculo 2 7 4 2" xfId="3500"/>
    <cellStyle name="Cálculo 2 8" xfId="3501"/>
    <cellStyle name="Cálculo 2 8 2" xfId="3502"/>
    <cellStyle name="Cálculo 2 8 2 2" xfId="3503"/>
    <cellStyle name="Cálculo 2 8 3" xfId="3504"/>
    <cellStyle name="Cálculo 2 8 3 2" xfId="3505"/>
    <cellStyle name="Cálculo 2 8 4" xfId="3506"/>
    <cellStyle name="Cálculo 2 8 4 2" xfId="3507"/>
    <cellStyle name="Cálculo 2 9" xfId="3508"/>
    <cellStyle name="Cálculo 2 9 2" xfId="3509"/>
    <cellStyle name="Cálculo 2_PIP" xfId="495"/>
    <cellStyle name="Cálculo 3" xfId="496"/>
    <cellStyle name="Cálculo 3 10" xfId="3510"/>
    <cellStyle name="Cálculo 3 10 2" xfId="3511"/>
    <cellStyle name="Cálculo 3 11" xfId="3512"/>
    <cellStyle name="Cálculo 3 11 2" xfId="3513"/>
    <cellStyle name="Cálculo 3 2" xfId="2067"/>
    <cellStyle name="Cálculo 3 2 10" xfId="3514"/>
    <cellStyle name="Cálculo 3 2 10 2" xfId="3515"/>
    <cellStyle name="Cálculo 3 2 2" xfId="2068"/>
    <cellStyle name="Cálculo 3 2 2 2" xfId="2069"/>
    <cellStyle name="Cálculo 3 2 2 2 2" xfId="3516"/>
    <cellStyle name="Cálculo 3 2 2 2 2 2" xfId="3517"/>
    <cellStyle name="Cálculo 3 2 2 2 2 2 2" xfId="3518"/>
    <cellStyle name="Cálculo 3 2 2 2 2 3" xfId="3519"/>
    <cellStyle name="Cálculo 3 2 2 2 2 3 2" xfId="3520"/>
    <cellStyle name="Cálculo 3 2 2 2 2 4" xfId="3521"/>
    <cellStyle name="Cálculo 3 2 2 2 2 4 2" xfId="3522"/>
    <cellStyle name="Cálculo 3 2 2 2 3" xfId="3523"/>
    <cellStyle name="Cálculo 3 2 2 2 3 2" xfId="3524"/>
    <cellStyle name="Cálculo 3 2 2 2 3 2 2" xfId="3525"/>
    <cellStyle name="Cálculo 3 2 2 2 3 3" xfId="3526"/>
    <cellStyle name="Cálculo 3 2 2 2 3 3 2" xfId="3527"/>
    <cellStyle name="Cálculo 3 2 2 2 3 4" xfId="3528"/>
    <cellStyle name="Cálculo 3 2 2 2 3 4 2" xfId="3529"/>
    <cellStyle name="Cálculo 3 2 2 2 4" xfId="3530"/>
    <cellStyle name="Cálculo 3 2 2 2 4 2" xfId="3531"/>
    <cellStyle name="Cálculo 3 2 2 2 5" xfId="3532"/>
    <cellStyle name="Cálculo 3 2 2 2 5 2" xfId="3533"/>
    <cellStyle name="Cálculo 3 2 2 2 6" xfId="3534"/>
    <cellStyle name="Cálculo 3 2 2 2 6 2" xfId="3535"/>
    <cellStyle name="Cálculo 3 2 2 3" xfId="3536"/>
    <cellStyle name="Cálculo 3 2 2 3 2" xfId="3537"/>
    <cellStyle name="Cálculo 3 2 2 3 2 2" xfId="3538"/>
    <cellStyle name="Cálculo 3 2 2 3 3" xfId="3539"/>
    <cellStyle name="Cálculo 3 2 2 3 3 2" xfId="3540"/>
    <cellStyle name="Cálculo 3 2 2 3 4" xfId="3541"/>
    <cellStyle name="Cálculo 3 2 2 3 4 2" xfId="3542"/>
    <cellStyle name="Cálculo 3 2 2 4" xfId="3543"/>
    <cellStyle name="Cálculo 3 2 2 4 2" xfId="3544"/>
    <cellStyle name="Cálculo 3 2 2 4 2 2" xfId="3545"/>
    <cellStyle name="Cálculo 3 2 2 4 3" xfId="3546"/>
    <cellStyle name="Cálculo 3 2 2 4 3 2" xfId="3547"/>
    <cellStyle name="Cálculo 3 2 2 4 4" xfId="3548"/>
    <cellStyle name="Cálculo 3 2 2 4 4 2" xfId="3549"/>
    <cellStyle name="Cálculo 3 2 2 5" xfId="3550"/>
    <cellStyle name="Cálculo 3 2 2 5 2" xfId="3551"/>
    <cellStyle name="Cálculo 3 2 2 6" xfId="3552"/>
    <cellStyle name="Cálculo 3 2 2 6 2" xfId="3553"/>
    <cellStyle name="Cálculo 3 2 2 7" xfId="3554"/>
    <cellStyle name="Cálculo 3 2 2 7 2" xfId="3555"/>
    <cellStyle name="Cálculo 3 2 3" xfId="2070"/>
    <cellStyle name="Cálculo 3 2 3 2" xfId="2071"/>
    <cellStyle name="Cálculo 3 2 3 2 2" xfId="3556"/>
    <cellStyle name="Cálculo 3 2 3 2 2 2" xfId="3557"/>
    <cellStyle name="Cálculo 3 2 3 2 2 2 2" xfId="3558"/>
    <cellStyle name="Cálculo 3 2 3 2 2 3" xfId="3559"/>
    <cellStyle name="Cálculo 3 2 3 2 2 3 2" xfId="3560"/>
    <cellStyle name="Cálculo 3 2 3 2 2 4" xfId="3561"/>
    <cellStyle name="Cálculo 3 2 3 2 2 4 2" xfId="3562"/>
    <cellStyle name="Cálculo 3 2 3 2 3" xfId="3563"/>
    <cellStyle name="Cálculo 3 2 3 2 3 2" xfId="3564"/>
    <cellStyle name="Cálculo 3 2 3 2 3 2 2" xfId="3565"/>
    <cellStyle name="Cálculo 3 2 3 2 3 3" xfId="3566"/>
    <cellStyle name="Cálculo 3 2 3 2 3 3 2" xfId="3567"/>
    <cellStyle name="Cálculo 3 2 3 2 3 4" xfId="3568"/>
    <cellStyle name="Cálculo 3 2 3 2 3 4 2" xfId="3569"/>
    <cellStyle name="Cálculo 3 2 3 2 4" xfId="3570"/>
    <cellStyle name="Cálculo 3 2 3 2 4 2" xfId="3571"/>
    <cellStyle name="Cálculo 3 2 3 2 5" xfId="3572"/>
    <cellStyle name="Cálculo 3 2 3 2 5 2" xfId="3573"/>
    <cellStyle name="Cálculo 3 2 3 2 6" xfId="3574"/>
    <cellStyle name="Cálculo 3 2 3 2 6 2" xfId="3575"/>
    <cellStyle name="Cálculo 3 2 3 3" xfId="3576"/>
    <cellStyle name="Cálculo 3 2 3 3 2" xfId="3577"/>
    <cellStyle name="Cálculo 3 2 3 3 2 2" xfId="3578"/>
    <cellStyle name="Cálculo 3 2 3 3 3" xfId="3579"/>
    <cellStyle name="Cálculo 3 2 3 3 3 2" xfId="3580"/>
    <cellStyle name="Cálculo 3 2 3 3 4" xfId="3581"/>
    <cellStyle name="Cálculo 3 2 3 3 4 2" xfId="3582"/>
    <cellStyle name="Cálculo 3 2 3 4" xfId="3583"/>
    <cellStyle name="Cálculo 3 2 3 4 2" xfId="3584"/>
    <cellStyle name="Cálculo 3 2 3 4 2 2" xfId="3585"/>
    <cellStyle name="Cálculo 3 2 3 4 3" xfId="3586"/>
    <cellStyle name="Cálculo 3 2 3 4 3 2" xfId="3587"/>
    <cellStyle name="Cálculo 3 2 3 4 4" xfId="3588"/>
    <cellStyle name="Cálculo 3 2 3 4 4 2" xfId="3589"/>
    <cellStyle name="Cálculo 3 2 3 5" xfId="3590"/>
    <cellStyle name="Cálculo 3 2 3 5 2" xfId="3591"/>
    <cellStyle name="Cálculo 3 2 3 6" xfId="3592"/>
    <cellStyle name="Cálculo 3 2 3 6 2" xfId="3593"/>
    <cellStyle name="Cálculo 3 2 3 7" xfId="3594"/>
    <cellStyle name="Cálculo 3 2 3 7 2" xfId="3595"/>
    <cellStyle name="Cálculo 3 2 4" xfId="2072"/>
    <cellStyle name="Cálculo 3 2 4 2" xfId="2073"/>
    <cellStyle name="Cálculo 3 2 4 2 2" xfId="3596"/>
    <cellStyle name="Cálculo 3 2 4 2 2 2" xfId="3597"/>
    <cellStyle name="Cálculo 3 2 4 2 2 2 2" xfId="3598"/>
    <cellStyle name="Cálculo 3 2 4 2 2 3" xfId="3599"/>
    <cellStyle name="Cálculo 3 2 4 2 2 3 2" xfId="3600"/>
    <cellStyle name="Cálculo 3 2 4 2 2 4" xfId="3601"/>
    <cellStyle name="Cálculo 3 2 4 2 2 4 2" xfId="3602"/>
    <cellStyle name="Cálculo 3 2 4 2 3" xfId="3603"/>
    <cellStyle name="Cálculo 3 2 4 2 3 2" xfId="3604"/>
    <cellStyle name="Cálculo 3 2 4 2 3 2 2" xfId="3605"/>
    <cellStyle name="Cálculo 3 2 4 2 3 3" xfId="3606"/>
    <cellStyle name="Cálculo 3 2 4 2 3 3 2" xfId="3607"/>
    <cellStyle name="Cálculo 3 2 4 2 3 4" xfId="3608"/>
    <cellStyle name="Cálculo 3 2 4 2 3 4 2" xfId="3609"/>
    <cellStyle name="Cálculo 3 2 4 2 4" xfId="3610"/>
    <cellStyle name="Cálculo 3 2 4 2 4 2" xfId="3611"/>
    <cellStyle name="Cálculo 3 2 4 2 5" xfId="3612"/>
    <cellStyle name="Cálculo 3 2 4 2 5 2" xfId="3613"/>
    <cellStyle name="Cálculo 3 2 4 2 6" xfId="3614"/>
    <cellStyle name="Cálculo 3 2 4 2 6 2" xfId="3615"/>
    <cellStyle name="Cálculo 3 2 4 3" xfId="3616"/>
    <cellStyle name="Cálculo 3 2 4 3 2" xfId="3617"/>
    <cellStyle name="Cálculo 3 2 4 3 2 2" xfId="3618"/>
    <cellStyle name="Cálculo 3 2 4 3 3" xfId="3619"/>
    <cellStyle name="Cálculo 3 2 4 3 3 2" xfId="3620"/>
    <cellStyle name="Cálculo 3 2 4 3 4" xfId="3621"/>
    <cellStyle name="Cálculo 3 2 4 3 4 2" xfId="3622"/>
    <cellStyle name="Cálculo 3 2 4 4" xfId="3623"/>
    <cellStyle name="Cálculo 3 2 4 4 2" xfId="3624"/>
    <cellStyle name="Cálculo 3 2 4 4 2 2" xfId="3625"/>
    <cellStyle name="Cálculo 3 2 4 4 3" xfId="3626"/>
    <cellStyle name="Cálculo 3 2 4 4 3 2" xfId="3627"/>
    <cellStyle name="Cálculo 3 2 4 4 4" xfId="3628"/>
    <cellStyle name="Cálculo 3 2 4 4 4 2" xfId="3629"/>
    <cellStyle name="Cálculo 3 2 4 5" xfId="3630"/>
    <cellStyle name="Cálculo 3 2 4 5 2" xfId="3631"/>
    <cellStyle name="Cálculo 3 2 4 6" xfId="3632"/>
    <cellStyle name="Cálculo 3 2 4 6 2" xfId="3633"/>
    <cellStyle name="Cálculo 3 2 4 7" xfId="3634"/>
    <cellStyle name="Cálculo 3 2 4 7 2" xfId="3635"/>
    <cellStyle name="Cálculo 3 2 5" xfId="2074"/>
    <cellStyle name="Cálculo 3 2 5 2" xfId="3636"/>
    <cellStyle name="Cálculo 3 2 5 2 2" xfId="3637"/>
    <cellStyle name="Cálculo 3 2 5 2 2 2" xfId="3638"/>
    <cellStyle name="Cálculo 3 2 5 2 3" xfId="3639"/>
    <cellStyle name="Cálculo 3 2 5 2 3 2" xfId="3640"/>
    <cellStyle name="Cálculo 3 2 5 2 4" xfId="3641"/>
    <cellStyle name="Cálculo 3 2 5 2 4 2" xfId="3642"/>
    <cellStyle name="Cálculo 3 2 5 3" xfId="3643"/>
    <cellStyle name="Cálculo 3 2 5 3 2" xfId="3644"/>
    <cellStyle name="Cálculo 3 2 5 3 2 2" xfId="3645"/>
    <cellStyle name="Cálculo 3 2 5 3 3" xfId="3646"/>
    <cellStyle name="Cálculo 3 2 5 3 3 2" xfId="3647"/>
    <cellStyle name="Cálculo 3 2 5 3 4" xfId="3648"/>
    <cellStyle name="Cálculo 3 2 5 3 4 2" xfId="3649"/>
    <cellStyle name="Cálculo 3 2 5 4" xfId="3650"/>
    <cellStyle name="Cálculo 3 2 5 4 2" xfId="3651"/>
    <cellStyle name="Cálculo 3 2 5 5" xfId="3652"/>
    <cellStyle name="Cálculo 3 2 5 5 2" xfId="3653"/>
    <cellStyle name="Cálculo 3 2 5 6" xfId="3654"/>
    <cellStyle name="Cálculo 3 2 5 6 2" xfId="3655"/>
    <cellStyle name="Cálculo 3 2 6" xfId="3656"/>
    <cellStyle name="Cálculo 3 2 6 2" xfId="3657"/>
    <cellStyle name="Cálculo 3 2 6 2 2" xfId="3658"/>
    <cellStyle name="Cálculo 3 2 6 3" xfId="3659"/>
    <cellStyle name="Cálculo 3 2 6 3 2" xfId="3660"/>
    <cellStyle name="Cálculo 3 2 6 4" xfId="3661"/>
    <cellStyle name="Cálculo 3 2 6 4 2" xfId="3662"/>
    <cellStyle name="Cálculo 3 2 7" xfId="3663"/>
    <cellStyle name="Cálculo 3 2 7 2" xfId="3664"/>
    <cellStyle name="Cálculo 3 2 7 2 2" xfId="3665"/>
    <cellStyle name="Cálculo 3 2 7 3" xfId="3666"/>
    <cellStyle name="Cálculo 3 2 7 3 2" xfId="3667"/>
    <cellStyle name="Cálculo 3 2 7 4" xfId="3668"/>
    <cellStyle name="Cálculo 3 2 7 4 2" xfId="3669"/>
    <cellStyle name="Cálculo 3 2 8" xfId="3670"/>
    <cellStyle name="Cálculo 3 2 8 2" xfId="3671"/>
    <cellStyle name="Cálculo 3 2 9" xfId="3672"/>
    <cellStyle name="Cálculo 3 2 9 2" xfId="3673"/>
    <cellStyle name="Cálculo 3 3" xfId="2075"/>
    <cellStyle name="Cálculo 3 3 2" xfId="2076"/>
    <cellStyle name="Cálculo 3 3 2 2" xfId="3674"/>
    <cellStyle name="Cálculo 3 3 2 2 2" xfId="3675"/>
    <cellStyle name="Cálculo 3 3 2 2 2 2" xfId="3676"/>
    <cellStyle name="Cálculo 3 3 2 2 3" xfId="3677"/>
    <cellStyle name="Cálculo 3 3 2 2 3 2" xfId="3678"/>
    <cellStyle name="Cálculo 3 3 2 2 4" xfId="3679"/>
    <cellStyle name="Cálculo 3 3 2 2 4 2" xfId="3680"/>
    <cellStyle name="Cálculo 3 3 2 3" xfId="3681"/>
    <cellStyle name="Cálculo 3 3 2 3 2" xfId="3682"/>
    <cellStyle name="Cálculo 3 3 2 3 2 2" xfId="3683"/>
    <cellStyle name="Cálculo 3 3 2 3 3" xfId="3684"/>
    <cellStyle name="Cálculo 3 3 2 3 3 2" xfId="3685"/>
    <cellStyle name="Cálculo 3 3 2 3 4" xfId="3686"/>
    <cellStyle name="Cálculo 3 3 2 3 4 2" xfId="3687"/>
    <cellStyle name="Cálculo 3 3 2 4" xfId="3688"/>
    <cellStyle name="Cálculo 3 3 2 4 2" xfId="3689"/>
    <cellStyle name="Cálculo 3 3 2 5" xfId="3690"/>
    <cellStyle name="Cálculo 3 3 2 5 2" xfId="3691"/>
    <cellStyle name="Cálculo 3 3 2 6" xfId="3692"/>
    <cellStyle name="Cálculo 3 3 2 6 2" xfId="3693"/>
    <cellStyle name="Cálculo 3 3 3" xfId="3694"/>
    <cellStyle name="Cálculo 3 3 3 2" xfId="3695"/>
    <cellStyle name="Cálculo 3 3 3 2 2" xfId="3696"/>
    <cellStyle name="Cálculo 3 3 3 3" xfId="3697"/>
    <cellStyle name="Cálculo 3 3 3 3 2" xfId="3698"/>
    <cellStyle name="Cálculo 3 3 3 4" xfId="3699"/>
    <cellStyle name="Cálculo 3 3 3 4 2" xfId="3700"/>
    <cellStyle name="Cálculo 3 3 4" xfId="3701"/>
    <cellStyle name="Cálculo 3 3 4 2" xfId="3702"/>
    <cellStyle name="Cálculo 3 3 4 2 2" xfId="3703"/>
    <cellStyle name="Cálculo 3 3 4 3" xfId="3704"/>
    <cellStyle name="Cálculo 3 3 4 3 2" xfId="3705"/>
    <cellStyle name="Cálculo 3 3 4 4" xfId="3706"/>
    <cellStyle name="Cálculo 3 3 4 4 2" xfId="3707"/>
    <cellStyle name="Cálculo 3 3 5" xfId="3708"/>
    <cellStyle name="Cálculo 3 3 5 2" xfId="3709"/>
    <cellStyle name="Cálculo 3 3 6" xfId="3710"/>
    <cellStyle name="Cálculo 3 3 6 2" xfId="3711"/>
    <cellStyle name="Cálculo 3 3 7" xfId="3712"/>
    <cellStyle name="Cálculo 3 3 7 2" xfId="3713"/>
    <cellStyle name="Cálculo 3 4" xfId="2077"/>
    <cellStyle name="Cálculo 3 4 2" xfId="2078"/>
    <cellStyle name="Cálculo 3 4 2 2" xfId="3714"/>
    <cellStyle name="Cálculo 3 4 2 2 2" xfId="3715"/>
    <cellStyle name="Cálculo 3 4 2 2 2 2" xfId="3716"/>
    <cellStyle name="Cálculo 3 4 2 2 3" xfId="3717"/>
    <cellStyle name="Cálculo 3 4 2 2 3 2" xfId="3718"/>
    <cellStyle name="Cálculo 3 4 2 2 4" xfId="3719"/>
    <cellStyle name="Cálculo 3 4 2 2 4 2" xfId="3720"/>
    <cellStyle name="Cálculo 3 4 2 3" xfId="3721"/>
    <cellStyle name="Cálculo 3 4 2 3 2" xfId="3722"/>
    <cellStyle name="Cálculo 3 4 2 3 2 2" xfId="3723"/>
    <cellStyle name="Cálculo 3 4 2 3 3" xfId="3724"/>
    <cellStyle name="Cálculo 3 4 2 3 3 2" xfId="3725"/>
    <cellStyle name="Cálculo 3 4 2 3 4" xfId="3726"/>
    <cellStyle name="Cálculo 3 4 2 3 4 2" xfId="3727"/>
    <cellStyle name="Cálculo 3 4 2 4" xfId="3728"/>
    <cellStyle name="Cálculo 3 4 2 4 2" xfId="3729"/>
    <cellStyle name="Cálculo 3 4 2 5" xfId="3730"/>
    <cellStyle name="Cálculo 3 4 2 5 2" xfId="3731"/>
    <cellStyle name="Cálculo 3 4 2 6" xfId="3732"/>
    <cellStyle name="Cálculo 3 4 2 6 2" xfId="3733"/>
    <cellStyle name="Cálculo 3 4 3" xfId="3734"/>
    <cellStyle name="Cálculo 3 4 3 2" xfId="3735"/>
    <cellStyle name="Cálculo 3 4 3 2 2" xfId="3736"/>
    <cellStyle name="Cálculo 3 4 3 3" xfId="3737"/>
    <cellStyle name="Cálculo 3 4 3 3 2" xfId="3738"/>
    <cellStyle name="Cálculo 3 4 3 4" xfId="3739"/>
    <cellStyle name="Cálculo 3 4 3 4 2" xfId="3740"/>
    <cellStyle name="Cálculo 3 4 4" xfId="3741"/>
    <cellStyle name="Cálculo 3 4 4 2" xfId="3742"/>
    <cellStyle name="Cálculo 3 4 4 2 2" xfId="3743"/>
    <cellStyle name="Cálculo 3 4 4 3" xfId="3744"/>
    <cellStyle name="Cálculo 3 4 4 3 2" xfId="3745"/>
    <cellStyle name="Cálculo 3 4 4 4" xfId="3746"/>
    <cellStyle name="Cálculo 3 4 4 4 2" xfId="3747"/>
    <cellStyle name="Cálculo 3 4 5" xfId="3748"/>
    <cellStyle name="Cálculo 3 4 5 2" xfId="3749"/>
    <cellStyle name="Cálculo 3 4 6" xfId="3750"/>
    <cellStyle name="Cálculo 3 4 6 2" xfId="3751"/>
    <cellStyle name="Cálculo 3 4 7" xfId="3752"/>
    <cellStyle name="Cálculo 3 4 7 2" xfId="3753"/>
    <cellStyle name="Cálculo 3 5" xfId="2079"/>
    <cellStyle name="Cálculo 3 5 2" xfId="2080"/>
    <cellStyle name="Cálculo 3 5 2 2" xfId="3754"/>
    <cellStyle name="Cálculo 3 5 2 2 2" xfId="3755"/>
    <cellStyle name="Cálculo 3 5 2 2 2 2" xfId="3756"/>
    <cellStyle name="Cálculo 3 5 2 2 3" xfId="3757"/>
    <cellStyle name="Cálculo 3 5 2 2 3 2" xfId="3758"/>
    <cellStyle name="Cálculo 3 5 2 2 4" xfId="3759"/>
    <cellStyle name="Cálculo 3 5 2 2 4 2" xfId="3760"/>
    <cellStyle name="Cálculo 3 5 2 3" xfId="3761"/>
    <cellStyle name="Cálculo 3 5 2 3 2" xfId="3762"/>
    <cellStyle name="Cálculo 3 5 2 3 2 2" xfId="3763"/>
    <cellStyle name="Cálculo 3 5 2 3 3" xfId="3764"/>
    <cellStyle name="Cálculo 3 5 2 3 3 2" xfId="3765"/>
    <cellStyle name="Cálculo 3 5 2 3 4" xfId="3766"/>
    <cellStyle name="Cálculo 3 5 2 3 4 2" xfId="3767"/>
    <cellStyle name="Cálculo 3 5 2 4" xfId="3768"/>
    <cellStyle name="Cálculo 3 5 2 4 2" xfId="3769"/>
    <cellStyle name="Cálculo 3 5 2 5" xfId="3770"/>
    <cellStyle name="Cálculo 3 5 2 5 2" xfId="3771"/>
    <cellStyle name="Cálculo 3 5 2 6" xfId="3772"/>
    <cellStyle name="Cálculo 3 5 2 6 2" xfId="3773"/>
    <cellStyle name="Cálculo 3 5 3" xfId="3774"/>
    <cellStyle name="Cálculo 3 5 3 2" xfId="3775"/>
    <cellStyle name="Cálculo 3 5 3 2 2" xfId="3776"/>
    <cellStyle name="Cálculo 3 5 3 3" xfId="3777"/>
    <cellStyle name="Cálculo 3 5 3 3 2" xfId="3778"/>
    <cellStyle name="Cálculo 3 5 3 4" xfId="3779"/>
    <cellStyle name="Cálculo 3 5 3 4 2" xfId="3780"/>
    <cellStyle name="Cálculo 3 5 4" xfId="3781"/>
    <cellStyle name="Cálculo 3 5 4 2" xfId="3782"/>
    <cellStyle name="Cálculo 3 5 4 2 2" xfId="3783"/>
    <cellStyle name="Cálculo 3 5 4 3" xfId="3784"/>
    <cellStyle name="Cálculo 3 5 4 3 2" xfId="3785"/>
    <cellStyle name="Cálculo 3 5 4 4" xfId="3786"/>
    <cellStyle name="Cálculo 3 5 4 4 2" xfId="3787"/>
    <cellStyle name="Cálculo 3 5 5" xfId="3788"/>
    <cellStyle name="Cálculo 3 5 5 2" xfId="3789"/>
    <cellStyle name="Cálculo 3 5 6" xfId="3790"/>
    <cellStyle name="Cálculo 3 5 6 2" xfId="3791"/>
    <cellStyle name="Cálculo 3 5 7" xfId="3792"/>
    <cellStyle name="Cálculo 3 5 7 2" xfId="3793"/>
    <cellStyle name="Cálculo 3 6" xfId="2081"/>
    <cellStyle name="Cálculo 3 6 2" xfId="3794"/>
    <cellStyle name="Cálculo 3 6 2 2" xfId="3795"/>
    <cellStyle name="Cálculo 3 6 2 2 2" xfId="3796"/>
    <cellStyle name="Cálculo 3 6 2 3" xfId="3797"/>
    <cellStyle name="Cálculo 3 6 2 3 2" xfId="3798"/>
    <cellStyle name="Cálculo 3 6 2 4" xfId="3799"/>
    <cellStyle name="Cálculo 3 6 2 4 2" xfId="3800"/>
    <cellStyle name="Cálculo 3 6 3" xfId="3801"/>
    <cellStyle name="Cálculo 3 6 3 2" xfId="3802"/>
    <cellStyle name="Cálculo 3 6 3 2 2" xfId="3803"/>
    <cellStyle name="Cálculo 3 6 3 3" xfId="3804"/>
    <cellStyle name="Cálculo 3 6 3 3 2" xfId="3805"/>
    <cellStyle name="Cálculo 3 6 3 4" xfId="3806"/>
    <cellStyle name="Cálculo 3 6 3 4 2" xfId="3807"/>
    <cellStyle name="Cálculo 3 6 4" xfId="3808"/>
    <cellStyle name="Cálculo 3 6 4 2" xfId="3809"/>
    <cellStyle name="Cálculo 3 6 5" xfId="3810"/>
    <cellStyle name="Cálculo 3 6 5 2" xfId="3811"/>
    <cellStyle name="Cálculo 3 6 6" xfId="3812"/>
    <cellStyle name="Cálculo 3 6 6 2" xfId="3813"/>
    <cellStyle name="Cálculo 3 7" xfId="3814"/>
    <cellStyle name="Cálculo 3 7 2" xfId="3815"/>
    <cellStyle name="Cálculo 3 7 2 2" xfId="3816"/>
    <cellStyle name="Cálculo 3 7 3" xfId="3817"/>
    <cellStyle name="Cálculo 3 7 3 2" xfId="3818"/>
    <cellStyle name="Cálculo 3 7 4" xfId="3819"/>
    <cellStyle name="Cálculo 3 7 4 2" xfId="3820"/>
    <cellStyle name="Cálculo 3 8" xfId="3821"/>
    <cellStyle name="Cálculo 3 8 2" xfId="3822"/>
    <cellStyle name="Cálculo 3 8 2 2" xfId="3823"/>
    <cellStyle name="Cálculo 3 8 3" xfId="3824"/>
    <cellStyle name="Cálculo 3 8 3 2" xfId="3825"/>
    <cellStyle name="Cálculo 3 8 4" xfId="3826"/>
    <cellStyle name="Cálculo 3 8 4 2" xfId="3827"/>
    <cellStyle name="Cálculo 3 9" xfId="3828"/>
    <cellStyle name="Cálculo 3 9 2" xfId="3829"/>
    <cellStyle name="Cálculo 4" xfId="497"/>
    <cellStyle name="Cálculo 4 10" xfId="3830"/>
    <cellStyle name="Cálculo 4 10 2" xfId="3831"/>
    <cellStyle name="Cálculo 4 11" xfId="3832"/>
    <cellStyle name="Cálculo 4 11 2" xfId="3833"/>
    <cellStyle name="Cálculo 4 2" xfId="2082"/>
    <cellStyle name="Cálculo 4 2 10" xfId="3834"/>
    <cellStyle name="Cálculo 4 2 10 2" xfId="3835"/>
    <cellStyle name="Cálculo 4 2 2" xfId="2083"/>
    <cellStyle name="Cálculo 4 2 2 2" xfId="2084"/>
    <cellStyle name="Cálculo 4 2 2 2 2" xfId="3836"/>
    <cellStyle name="Cálculo 4 2 2 2 2 2" xfId="3837"/>
    <cellStyle name="Cálculo 4 2 2 2 2 2 2" xfId="3838"/>
    <cellStyle name="Cálculo 4 2 2 2 2 3" xfId="3839"/>
    <cellStyle name="Cálculo 4 2 2 2 2 3 2" xfId="3840"/>
    <cellStyle name="Cálculo 4 2 2 2 2 4" xfId="3841"/>
    <cellStyle name="Cálculo 4 2 2 2 2 4 2" xfId="3842"/>
    <cellStyle name="Cálculo 4 2 2 2 3" xfId="3843"/>
    <cellStyle name="Cálculo 4 2 2 2 3 2" xfId="3844"/>
    <cellStyle name="Cálculo 4 2 2 2 3 2 2" xfId="3845"/>
    <cellStyle name="Cálculo 4 2 2 2 3 3" xfId="3846"/>
    <cellStyle name="Cálculo 4 2 2 2 3 3 2" xfId="3847"/>
    <cellStyle name="Cálculo 4 2 2 2 3 4" xfId="3848"/>
    <cellStyle name="Cálculo 4 2 2 2 3 4 2" xfId="3849"/>
    <cellStyle name="Cálculo 4 2 2 2 4" xfId="3850"/>
    <cellStyle name="Cálculo 4 2 2 2 4 2" xfId="3851"/>
    <cellStyle name="Cálculo 4 2 2 2 5" xfId="3852"/>
    <cellStyle name="Cálculo 4 2 2 2 5 2" xfId="3853"/>
    <cellStyle name="Cálculo 4 2 2 2 6" xfId="3854"/>
    <cellStyle name="Cálculo 4 2 2 2 6 2" xfId="3855"/>
    <cellStyle name="Cálculo 4 2 2 3" xfId="3856"/>
    <cellStyle name="Cálculo 4 2 2 3 2" xfId="3857"/>
    <cellStyle name="Cálculo 4 2 2 3 2 2" xfId="3858"/>
    <cellStyle name="Cálculo 4 2 2 3 3" xfId="3859"/>
    <cellStyle name="Cálculo 4 2 2 3 3 2" xfId="3860"/>
    <cellStyle name="Cálculo 4 2 2 3 4" xfId="3861"/>
    <cellStyle name="Cálculo 4 2 2 3 4 2" xfId="3862"/>
    <cellStyle name="Cálculo 4 2 2 4" xfId="3863"/>
    <cellStyle name="Cálculo 4 2 2 4 2" xfId="3864"/>
    <cellStyle name="Cálculo 4 2 2 4 2 2" xfId="3865"/>
    <cellStyle name="Cálculo 4 2 2 4 3" xfId="3866"/>
    <cellStyle name="Cálculo 4 2 2 4 3 2" xfId="3867"/>
    <cellStyle name="Cálculo 4 2 2 4 4" xfId="3868"/>
    <cellStyle name="Cálculo 4 2 2 4 4 2" xfId="3869"/>
    <cellStyle name="Cálculo 4 2 2 5" xfId="3870"/>
    <cellStyle name="Cálculo 4 2 2 5 2" xfId="3871"/>
    <cellStyle name="Cálculo 4 2 2 6" xfId="3872"/>
    <cellStyle name="Cálculo 4 2 2 6 2" xfId="3873"/>
    <cellStyle name="Cálculo 4 2 2 7" xfId="3874"/>
    <cellStyle name="Cálculo 4 2 2 7 2" xfId="3875"/>
    <cellStyle name="Cálculo 4 2 3" xfId="2085"/>
    <cellStyle name="Cálculo 4 2 3 2" xfId="2086"/>
    <cellStyle name="Cálculo 4 2 3 2 2" xfId="3876"/>
    <cellStyle name="Cálculo 4 2 3 2 2 2" xfId="3877"/>
    <cellStyle name="Cálculo 4 2 3 2 2 2 2" xfId="3878"/>
    <cellStyle name="Cálculo 4 2 3 2 2 3" xfId="3879"/>
    <cellStyle name="Cálculo 4 2 3 2 2 3 2" xfId="3880"/>
    <cellStyle name="Cálculo 4 2 3 2 2 4" xfId="3881"/>
    <cellStyle name="Cálculo 4 2 3 2 2 4 2" xfId="3882"/>
    <cellStyle name="Cálculo 4 2 3 2 3" xfId="3883"/>
    <cellStyle name="Cálculo 4 2 3 2 3 2" xfId="3884"/>
    <cellStyle name="Cálculo 4 2 3 2 3 2 2" xfId="3885"/>
    <cellStyle name="Cálculo 4 2 3 2 3 3" xfId="3886"/>
    <cellStyle name="Cálculo 4 2 3 2 3 3 2" xfId="3887"/>
    <cellStyle name="Cálculo 4 2 3 2 3 4" xfId="3888"/>
    <cellStyle name="Cálculo 4 2 3 2 3 4 2" xfId="3889"/>
    <cellStyle name="Cálculo 4 2 3 2 4" xfId="3890"/>
    <cellStyle name="Cálculo 4 2 3 2 4 2" xfId="3891"/>
    <cellStyle name="Cálculo 4 2 3 2 5" xfId="3892"/>
    <cellStyle name="Cálculo 4 2 3 2 5 2" xfId="3893"/>
    <cellStyle name="Cálculo 4 2 3 2 6" xfId="3894"/>
    <cellStyle name="Cálculo 4 2 3 2 6 2" xfId="3895"/>
    <cellStyle name="Cálculo 4 2 3 3" xfId="3896"/>
    <cellStyle name="Cálculo 4 2 3 3 2" xfId="3897"/>
    <cellStyle name="Cálculo 4 2 3 3 2 2" xfId="3898"/>
    <cellStyle name="Cálculo 4 2 3 3 3" xfId="3899"/>
    <cellStyle name="Cálculo 4 2 3 3 3 2" xfId="3900"/>
    <cellStyle name="Cálculo 4 2 3 3 4" xfId="3901"/>
    <cellStyle name="Cálculo 4 2 3 3 4 2" xfId="3902"/>
    <cellStyle name="Cálculo 4 2 3 4" xfId="3903"/>
    <cellStyle name="Cálculo 4 2 3 4 2" xfId="3904"/>
    <cellStyle name="Cálculo 4 2 3 4 2 2" xfId="3905"/>
    <cellStyle name="Cálculo 4 2 3 4 3" xfId="3906"/>
    <cellStyle name="Cálculo 4 2 3 4 3 2" xfId="3907"/>
    <cellStyle name="Cálculo 4 2 3 4 4" xfId="3908"/>
    <cellStyle name="Cálculo 4 2 3 4 4 2" xfId="3909"/>
    <cellStyle name="Cálculo 4 2 3 5" xfId="3910"/>
    <cellStyle name="Cálculo 4 2 3 5 2" xfId="3911"/>
    <cellStyle name="Cálculo 4 2 3 6" xfId="3912"/>
    <cellStyle name="Cálculo 4 2 3 6 2" xfId="3913"/>
    <cellStyle name="Cálculo 4 2 3 7" xfId="3914"/>
    <cellStyle name="Cálculo 4 2 3 7 2" xfId="3915"/>
    <cellStyle name="Cálculo 4 2 4" xfId="2087"/>
    <cellStyle name="Cálculo 4 2 4 2" xfId="2088"/>
    <cellStyle name="Cálculo 4 2 4 2 2" xfId="3916"/>
    <cellStyle name="Cálculo 4 2 4 2 2 2" xfId="3917"/>
    <cellStyle name="Cálculo 4 2 4 2 2 2 2" xfId="3918"/>
    <cellStyle name="Cálculo 4 2 4 2 2 3" xfId="3919"/>
    <cellStyle name="Cálculo 4 2 4 2 2 3 2" xfId="3920"/>
    <cellStyle name="Cálculo 4 2 4 2 2 4" xfId="3921"/>
    <cellStyle name="Cálculo 4 2 4 2 2 4 2" xfId="3922"/>
    <cellStyle name="Cálculo 4 2 4 2 3" xfId="3923"/>
    <cellStyle name="Cálculo 4 2 4 2 3 2" xfId="3924"/>
    <cellStyle name="Cálculo 4 2 4 2 3 2 2" xfId="3925"/>
    <cellStyle name="Cálculo 4 2 4 2 3 3" xfId="3926"/>
    <cellStyle name="Cálculo 4 2 4 2 3 3 2" xfId="3927"/>
    <cellStyle name="Cálculo 4 2 4 2 3 4" xfId="3928"/>
    <cellStyle name="Cálculo 4 2 4 2 3 4 2" xfId="3929"/>
    <cellStyle name="Cálculo 4 2 4 2 4" xfId="3930"/>
    <cellStyle name="Cálculo 4 2 4 2 4 2" xfId="3931"/>
    <cellStyle name="Cálculo 4 2 4 2 5" xfId="3932"/>
    <cellStyle name="Cálculo 4 2 4 2 5 2" xfId="3933"/>
    <cellStyle name="Cálculo 4 2 4 2 6" xfId="3934"/>
    <cellStyle name="Cálculo 4 2 4 2 6 2" xfId="3935"/>
    <cellStyle name="Cálculo 4 2 4 3" xfId="3936"/>
    <cellStyle name="Cálculo 4 2 4 3 2" xfId="3937"/>
    <cellStyle name="Cálculo 4 2 4 3 2 2" xfId="3938"/>
    <cellStyle name="Cálculo 4 2 4 3 3" xfId="3939"/>
    <cellStyle name="Cálculo 4 2 4 3 3 2" xfId="3940"/>
    <cellStyle name="Cálculo 4 2 4 3 4" xfId="3941"/>
    <cellStyle name="Cálculo 4 2 4 3 4 2" xfId="3942"/>
    <cellStyle name="Cálculo 4 2 4 4" xfId="3943"/>
    <cellStyle name="Cálculo 4 2 4 4 2" xfId="3944"/>
    <cellStyle name="Cálculo 4 2 4 4 2 2" xfId="3945"/>
    <cellStyle name="Cálculo 4 2 4 4 3" xfId="3946"/>
    <cellStyle name="Cálculo 4 2 4 4 3 2" xfId="3947"/>
    <cellStyle name="Cálculo 4 2 4 4 4" xfId="3948"/>
    <cellStyle name="Cálculo 4 2 4 4 4 2" xfId="3949"/>
    <cellStyle name="Cálculo 4 2 4 5" xfId="3950"/>
    <cellStyle name="Cálculo 4 2 4 5 2" xfId="3951"/>
    <cellStyle name="Cálculo 4 2 4 6" xfId="3952"/>
    <cellStyle name="Cálculo 4 2 4 6 2" xfId="3953"/>
    <cellStyle name="Cálculo 4 2 4 7" xfId="3954"/>
    <cellStyle name="Cálculo 4 2 4 7 2" xfId="3955"/>
    <cellStyle name="Cálculo 4 2 5" xfId="2089"/>
    <cellStyle name="Cálculo 4 2 5 2" xfId="3956"/>
    <cellStyle name="Cálculo 4 2 5 2 2" xfId="3957"/>
    <cellStyle name="Cálculo 4 2 5 2 2 2" xfId="3958"/>
    <cellStyle name="Cálculo 4 2 5 2 3" xfId="3959"/>
    <cellStyle name="Cálculo 4 2 5 2 3 2" xfId="3960"/>
    <cellStyle name="Cálculo 4 2 5 2 4" xfId="3961"/>
    <cellStyle name="Cálculo 4 2 5 2 4 2" xfId="3962"/>
    <cellStyle name="Cálculo 4 2 5 3" xfId="3963"/>
    <cellStyle name="Cálculo 4 2 5 3 2" xfId="3964"/>
    <cellStyle name="Cálculo 4 2 5 3 2 2" xfId="3965"/>
    <cellStyle name="Cálculo 4 2 5 3 3" xfId="3966"/>
    <cellStyle name="Cálculo 4 2 5 3 3 2" xfId="3967"/>
    <cellStyle name="Cálculo 4 2 5 3 4" xfId="3968"/>
    <cellStyle name="Cálculo 4 2 5 3 4 2" xfId="3969"/>
    <cellStyle name="Cálculo 4 2 5 4" xfId="3970"/>
    <cellStyle name="Cálculo 4 2 5 4 2" xfId="3971"/>
    <cellStyle name="Cálculo 4 2 5 5" xfId="3972"/>
    <cellStyle name="Cálculo 4 2 5 5 2" xfId="3973"/>
    <cellStyle name="Cálculo 4 2 5 6" xfId="3974"/>
    <cellStyle name="Cálculo 4 2 5 6 2" xfId="3975"/>
    <cellStyle name="Cálculo 4 2 6" xfId="3976"/>
    <cellStyle name="Cálculo 4 2 6 2" xfId="3977"/>
    <cellStyle name="Cálculo 4 2 6 2 2" xfId="3978"/>
    <cellStyle name="Cálculo 4 2 6 3" xfId="3979"/>
    <cellStyle name="Cálculo 4 2 6 3 2" xfId="3980"/>
    <cellStyle name="Cálculo 4 2 6 4" xfId="3981"/>
    <cellStyle name="Cálculo 4 2 6 4 2" xfId="3982"/>
    <cellStyle name="Cálculo 4 2 7" xfId="3983"/>
    <cellStyle name="Cálculo 4 2 7 2" xfId="3984"/>
    <cellStyle name="Cálculo 4 2 7 2 2" xfId="3985"/>
    <cellStyle name="Cálculo 4 2 7 3" xfId="3986"/>
    <cellStyle name="Cálculo 4 2 7 3 2" xfId="3987"/>
    <cellStyle name="Cálculo 4 2 7 4" xfId="3988"/>
    <cellStyle name="Cálculo 4 2 7 4 2" xfId="3989"/>
    <cellStyle name="Cálculo 4 2 8" xfId="3990"/>
    <cellStyle name="Cálculo 4 2 8 2" xfId="3991"/>
    <cellStyle name="Cálculo 4 2 9" xfId="3992"/>
    <cellStyle name="Cálculo 4 2 9 2" xfId="3993"/>
    <cellStyle name="Cálculo 4 3" xfId="2090"/>
    <cellStyle name="Cálculo 4 3 2" xfId="2091"/>
    <cellStyle name="Cálculo 4 3 2 2" xfId="3994"/>
    <cellStyle name="Cálculo 4 3 2 2 2" xfId="3995"/>
    <cellStyle name="Cálculo 4 3 2 2 2 2" xfId="3996"/>
    <cellStyle name="Cálculo 4 3 2 2 3" xfId="3997"/>
    <cellStyle name="Cálculo 4 3 2 2 3 2" xfId="3998"/>
    <cellStyle name="Cálculo 4 3 2 2 4" xfId="3999"/>
    <cellStyle name="Cálculo 4 3 2 2 4 2" xfId="4000"/>
    <cellStyle name="Cálculo 4 3 2 3" xfId="4001"/>
    <cellStyle name="Cálculo 4 3 2 3 2" xfId="4002"/>
    <cellStyle name="Cálculo 4 3 2 3 2 2" xfId="4003"/>
    <cellStyle name="Cálculo 4 3 2 3 3" xfId="4004"/>
    <cellStyle name="Cálculo 4 3 2 3 3 2" xfId="4005"/>
    <cellStyle name="Cálculo 4 3 2 3 4" xfId="4006"/>
    <cellStyle name="Cálculo 4 3 2 3 4 2" xfId="4007"/>
    <cellStyle name="Cálculo 4 3 2 4" xfId="4008"/>
    <cellStyle name="Cálculo 4 3 2 4 2" xfId="4009"/>
    <cellStyle name="Cálculo 4 3 2 5" xfId="4010"/>
    <cellStyle name="Cálculo 4 3 2 5 2" xfId="4011"/>
    <cellStyle name="Cálculo 4 3 2 6" xfId="4012"/>
    <cellStyle name="Cálculo 4 3 2 6 2" xfId="4013"/>
    <cellStyle name="Cálculo 4 3 3" xfId="4014"/>
    <cellStyle name="Cálculo 4 3 3 2" xfId="4015"/>
    <cellStyle name="Cálculo 4 3 3 2 2" xfId="4016"/>
    <cellStyle name="Cálculo 4 3 3 3" xfId="4017"/>
    <cellStyle name="Cálculo 4 3 3 3 2" xfId="4018"/>
    <cellStyle name="Cálculo 4 3 3 4" xfId="4019"/>
    <cellStyle name="Cálculo 4 3 3 4 2" xfId="4020"/>
    <cellStyle name="Cálculo 4 3 4" xfId="4021"/>
    <cellStyle name="Cálculo 4 3 4 2" xfId="4022"/>
    <cellStyle name="Cálculo 4 3 4 2 2" xfId="4023"/>
    <cellStyle name="Cálculo 4 3 4 3" xfId="4024"/>
    <cellStyle name="Cálculo 4 3 4 3 2" xfId="4025"/>
    <cellStyle name="Cálculo 4 3 4 4" xfId="4026"/>
    <cellStyle name="Cálculo 4 3 4 4 2" xfId="4027"/>
    <cellStyle name="Cálculo 4 3 5" xfId="4028"/>
    <cellStyle name="Cálculo 4 3 5 2" xfId="4029"/>
    <cellStyle name="Cálculo 4 3 6" xfId="4030"/>
    <cellStyle name="Cálculo 4 3 6 2" xfId="4031"/>
    <cellStyle name="Cálculo 4 3 7" xfId="4032"/>
    <cellStyle name="Cálculo 4 3 7 2" xfId="4033"/>
    <cellStyle name="Cálculo 4 4" xfId="2092"/>
    <cellStyle name="Cálculo 4 4 2" xfId="2093"/>
    <cellStyle name="Cálculo 4 4 2 2" xfId="4034"/>
    <cellStyle name="Cálculo 4 4 2 2 2" xfId="4035"/>
    <cellStyle name="Cálculo 4 4 2 2 2 2" xfId="4036"/>
    <cellStyle name="Cálculo 4 4 2 2 3" xfId="4037"/>
    <cellStyle name="Cálculo 4 4 2 2 3 2" xfId="4038"/>
    <cellStyle name="Cálculo 4 4 2 2 4" xfId="4039"/>
    <cellStyle name="Cálculo 4 4 2 2 4 2" xfId="4040"/>
    <cellStyle name="Cálculo 4 4 2 3" xfId="4041"/>
    <cellStyle name="Cálculo 4 4 2 3 2" xfId="4042"/>
    <cellStyle name="Cálculo 4 4 2 3 2 2" xfId="4043"/>
    <cellStyle name="Cálculo 4 4 2 3 3" xfId="4044"/>
    <cellStyle name="Cálculo 4 4 2 3 3 2" xfId="4045"/>
    <cellStyle name="Cálculo 4 4 2 3 4" xfId="4046"/>
    <cellStyle name="Cálculo 4 4 2 3 4 2" xfId="4047"/>
    <cellStyle name="Cálculo 4 4 2 4" xfId="4048"/>
    <cellStyle name="Cálculo 4 4 2 4 2" xfId="4049"/>
    <cellStyle name="Cálculo 4 4 2 5" xfId="4050"/>
    <cellStyle name="Cálculo 4 4 2 5 2" xfId="4051"/>
    <cellStyle name="Cálculo 4 4 2 6" xfId="4052"/>
    <cellStyle name="Cálculo 4 4 2 6 2" xfId="4053"/>
    <cellStyle name="Cálculo 4 4 3" xfId="4054"/>
    <cellStyle name="Cálculo 4 4 3 2" xfId="4055"/>
    <cellStyle name="Cálculo 4 4 3 2 2" xfId="4056"/>
    <cellStyle name="Cálculo 4 4 3 3" xfId="4057"/>
    <cellStyle name="Cálculo 4 4 3 3 2" xfId="4058"/>
    <cellStyle name="Cálculo 4 4 3 4" xfId="4059"/>
    <cellStyle name="Cálculo 4 4 3 4 2" xfId="4060"/>
    <cellStyle name="Cálculo 4 4 4" xfId="4061"/>
    <cellStyle name="Cálculo 4 4 4 2" xfId="4062"/>
    <cellStyle name="Cálculo 4 4 4 2 2" xfId="4063"/>
    <cellStyle name="Cálculo 4 4 4 3" xfId="4064"/>
    <cellStyle name="Cálculo 4 4 4 3 2" xfId="4065"/>
    <cellStyle name="Cálculo 4 4 4 4" xfId="4066"/>
    <cellStyle name="Cálculo 4 4 4 4 2" xfId="4067"/>
    <cellStyle name="Cálculo 4 4 5" xfId="4068"/>
    <cellStyle name="Cálculo 4 4 5 2" xfId="4069"/>
    <cellStyle name="Cálculo 4 4 6" xfId="4070"/>
    <cellStyle name="Cálculo 4 4 6 2" xfId="4071"/>
    <cellStyle name="Cálculo 4 4 7" xfId="4072"/>
    <cellStyle name="Cálculo 4 4 7 2" xfId="4073"/>
    <cellStyle name="Cálculo 4 5" xfId="2094"/>
    <cellStyle name="Cálculo 4 5 2" xfId="2095"/>
    <cellStyle name="Cálculo 4 5 2 2" xfId="4074"/>
    <cellStyle name="Cálculo 4 5 2 2 2" xfId="4075"/>
    <cellStyle name="Cálculo 4 5 2 2 2 2" xfId="4076"/>
    <cellStyle name="Cálculo 4 5 2 2 3" xfId="4077"/>
    <cellStyle name="Cálculo 4 5 2 2 3 2" xfId="4078"/>
    <cellStyle name="Cálculo 4 5 2 2 4" xfId="4079"/>
    <cellStyle name="Cálculo 4 5 2 2 4 2" xfId="4080"/>
    <cellStyle name="Cálculo 4 5 2 3" xfId="4081"/>
    <cellStyle name="Cálculo 4 5 2 3 2" xfId="4082"/>
    <cellStyle name="Cálculo 4 5 2 3 2 2" xfId="4083"/>
    <cellStyle name="Cálculo 4 5 2 3 3" xfId="4084"/>
    <cellStyle name="Cálculo 4 5 2 3 3 2" xfId="4085"/>
    <cellStyle name="Cálculo 4 5 2 3 4" xfId="4086"/>
    <cellStyle name="Cálculo 4 5 2 3 4 2" xfId="4087"/>
    <cellStyle name="Cálculo 4 5 2 4" xfId="4088"/>
    <cellStyle name="Cálculo 4 5 2 4 2" xfId="4089"/>
    <cellStyle name="Cálculo 4 5 2 5" xfId="4090"/>
    <cellStyle name="Cálculo 4 5 2 5 2" xfId="4091"/>
    <cellStyle name="Cálculo 4 5 2 6" xfId="4092"/>
    <cellStyle name="Cálculo 4 5 2 6 2" xfId="4093"/>
    <cellStyle name="Cálculo 4 5 3" xfId="4094"/>
    <cellStyle name="Cálculo 4 5 3 2" xfId="4095"/>
    <cellStyle name="Cálculo 4 5 3 2 2" xfId="4096"/>
    <cellStyle name="Cálculo 4 5 3 3" xfId="4097"/>
    <cellStyle name="Cálculo 4 5 3 3 2" xfId="4098"/>
    <cellStyle name="Cálculo 4 5 3 4" xfId="4099"/>
    <cellStyle name="Cálculo 4 5 3 4 2" xfId="4100"/>
    <cellStyle name="Cálculo 4 5 4" xfId="4101"/>
    <cellStyle name="Cálculo 4 5 4 2" xfId="4102"/>
    <cellStyle name="Cálculo 4 5 4 2 2" xfId="4103"/>
    <cellStyle name="Cálculo 4 5 4 3" xfId="4104"/>
    <cellStyle name="Cálculo 4 5 4 3 2" xfId="4105"/>
    <cellStyle name="Cálculo 4 5 4 4" xfId="4106"/>
    <cellStyle name="Cálculo 4 5 4 4 2" xfId="4107"/>
    <cellStyle name="Cálculo 4 5 5" xfId="4108"/>
    <cellStyle name="Cálculo 4 5 5 2" xfId="4109"/>
    <cellStyle name="Cálculo 4 5 6" xfId="4110"/>
    <cellStyle name="Cálculo 4 5 6 2" xfId="4111"/>
    <cellStyle name="Cálculo 4 5 7" xfId="4112"/>
    <cellStyle name="Cálculo 4 5 7 2" xfId="4113"/>
    <cellStyle name="Cálculo 4 6" xfId="2096"/>
    <cellStyle name="Cálculo 4 6 2" xfId="4114"/>
    <cellStyle name="Cálculo 4 6 2 2" xfId="4115"/>
    <cellStyle name="Cálculo 4 6 2 2 2" xfId="4116"/>
    <cellStyle name="Cálculo 4 6 2 3" xfId="4117"/>
    <cellStyle name="Cálculo 4 6 2 3 2" xfId="4118"/>
    <cellStyle name="Cálculo 4 6 2 4" xfId="4119"/>
    <cellStyle name="Cálculo 4 6 2 4 2" xfId="4120"/>
    <cellStyle name="Cálculo 4 6 3" xfId="4121"/>
    <cellStyle name="Cálculo 4 6 3 2" xfId="4122"/>
    <cellStyle name="Cálculo 4 6 3 2 2" xfId="4123"/>
    <cellStyle name="Cálculo 4 6 3 3" xfId="4124"/>
    <cellStyle name="Cálculo 4 6 3 3 2" xfId="4125"/>
    <cellStyle name="Cálculo 4 6 3 4" xfId="4126"/>
    <cellStyle name="Cálculo 4 6 3 4 2" xfId="4127"/>
    <cellStyle name="Cálculo 4 6 4" xfId="4128"/>
    <cellStyle name="Cálculo 4 6 4 2" xfId="4129"/>
    <cellStyle name="Cálculo 4 6 5" xfId="4130"/>
    <cellStyle name="Cálculo 4 6 5 2" xfId="4131"/>
    <cellStyle name="Cálculo 4 6 6" xfId="4132"/>
    <cellStyle name="Cálculo 4 6 6 2" xfId="4133"/>
    <cellStyle name="Cálculo 4 7" xfId="4134"/>
    <cellStyle name="Cálculo 4 7 2" xfId="4135"/>
    <cellStyle name="Cálculo 4 7 2 2" xfId="4136"/>
    <cellStyle name="Cálculo 4 7 3" xfId="4137"/>
    <cellStyle name="Cálculo 4 7 3 2" xfId="4138"/>
    <cellStyle name="Cálculo 4 7 4" xfId="4139"/>
    <cellStyle name="Cálculo 4 7 4 2" xfId="4140"/>
    <cellStyle name="Cálculo 4 8" xfId="4141"/>
    <cellStyle name="Cálculo 4 8 2" xfId="4142"/>
    <cellStyle name="Cálculo 4 8 2 2" xfId="4143"/>
    <cellStyle name="Cálculo 4 8 3" xfId="4144"/>
    <cellStyle name="Cálculo 4 8 3 2" xfId="4145"/>
    <cellStyle name="Cálculo 4 8 4" xfId="4146"/>
    <cellStyle name="Cálculo 4 8 4 2" xfId="4147"/>
    <cellStyle name="Cálculo 4 9" xfId="4148"/>
    <cellStyle name="Cálculo 4 9 2" xfId="4149"/>
    <cellStyle name="Cálculo 5" xfId="498"/>
    <cellStyle name="Cálculo 5 10" xfId="4150"/>
    <cellStyle name="Cálculo 5 10 2" xfId="4151"/>
    <cellStyle name="Cálculo 5 11" xfId="4152"/>
    <cellStyle name="Cálculo 5 11 2" xfId="4153"/>
    <cellStyle name="Cálculo 5 2" xfId="2097"/>
    <cellStyle name="Cálculo 5 2 10" xfId="4154"/>
    <cellStyle name="Cálculo 5 2 10 2" xfId="4155"/>
    <cellStyle name="Cálculo 5 2 2" xfId="2098"/>
    <cellStyle name="Cálculo 5 2 2 2" xfId="2099"/>
    <cellStyle name="Cálculo 5 2 2 2 2" xfId="4156"/>
    <cellStyle name="Cálculo 5 2 2 2 2 2" xfId="4157"/>
    <cellStyle name="Cálculo 5 2 2 2 2 2 2" xfId="4158"/>
    <cellStyle name="Cálculo 5 2 2 2 2 3" xfId="4159"/>
    <cellStyle name="Cálculo 5 2 2 2 2 3 2" xfId="4160"/>
    <cellStyle name="Cálculo 5 2 2 2 2 4" xfId="4161"/>
    <cellStyle name="Cálculo 5 2 2 2 2 4 2" xfId="4162"/>
    <cellStyle name="Cálculo 5 2 2 2 3" xfId="4163"/>
    <cellStyle name="Cálculo 5 2 2 2 3 2" xfId="4164"/>
    <cellStyle name="Cálculo 5 2 2 2 3 2 2" xfId="4165"/>
    <cellStyle name="Cálculo 5 2 2 2 3 3" xfId="4166"/>
    <cellStyle name="Cálculo 5 2 2 2 3 3 2" xfId="4167"/>
    <cellStyle name="Cálculo 5 2 2 2 3 4" xfId="4168"/>
    <cellStyle name="Cálculo 5 2 2 2 3 4 2" xfId="4169"/>
    <cellStyle name="Cálculo 5 2 2 2 4" xfId="4170"/>
    <cellStyle name="Cálculo 5 2 2 2 4 2" xfId="4171"/>
    <cellStyle name="Cálculo 5 2 2 2 5" xfId="4172"/>
    <cellStyle name="Cálculo 5 2 2 2 5 2" xfId="4173"/>
    <cellStyle name="Cálculo 5 2 2 2 6" xfId="4174"/>
    <cellStyle name="Cálculo 5 2 2 2 6 2" xfId="4175"/>
    <cellStyle name="Cálculo 5 2 2 3" xfId="4176"/>
    <cellStyle name="Cálculo 5 2 2 3 2" xfId="4177"/>
    <cellStyle name="Cálculo 5 2 2 3 2 2" xfId="4178"/>
    <cellStyle name="Cálculo 5 2 2 3 3" xfId="4179"/>
    <cellStyle name="Cálculo 5 2 2 3 3 2" xfId="4180"/>
    <cellStyle name="Cálculo 5 2 2 3 4" xfId="4181"/>
    <cellStyle name="Cálculo 5 2 2 3 4 2" xfId="4182"/>
    <cellStyle name="Cálculo 5 2 2 4" xfId="4183"/>
    <cellStyle name="Cálculo 5 2 2 4 2" xfId="4184"/>
    <cellStyle name="Cálculo 5 2 2 4 2 2" xfId="4185"/>
    <cellStyle name="Cálculo 5 2 2 4 3" xfId="4186"/>
    <cellStyle name="Cálculo 5 2 2 4 3 2" xfId="4187"/>
    <cellStyle name="Cálculo 5 2 2 4 4" xfId="4188"/>
    <cellStyle name="Cálculo 5 2 2 4 4 2" xfId="4189"/>
    <cellStyle name="Cálculo 5 2 2 5" xfId="4190"/>
    <cellStyle name="Cálculo 5 2 2 5 2" xfId="4191"/>
    <cellStyle name="Cálculo 5 2 2 6" xfId="4192"/>
    <cellStyle name="Cálculo 5 2 2 6 2" xfId="4193"/>
    <cellStyle name="Cálculo 5 2 2 7" xfId="4194"/>
    <cellStyle name="Cálculo 5 2 2 7 2" xfId="4195"/>
    <cellStyle name="Cálculo 5 2 3" xfId="2100"/>
    <cellStyle name="Cálculo 5 2 3 2" xfId="2101"/>
    <cellStyle name="Cálculo 5 2 3 2 2" xfId="4196"/>
    <cellStyle name="Cálculo 5 2 3 2 2 2" xfId="4197"/>
    <cellStyle name="Cálculo 5 2 3 2 2 2 2" xfId="4198"/>
    <cellStyle name="Cálculo 5 2 3 2 2 3" xfId="4199"/>
    <cellStyle name="Cálculo 5 2 3 2 2 3 2" xfId="4200"/>
    <cellStyle name="Cálculo 5 2 3 2 2 4" xfId="4201"/>
    <cellStyle name="Cálculo 5 2 3 2 2 4 2" xfId="4202"/>
    <cellStyle name="Cálculo 5 2 3 2 3" xfId="4203"/>
    <cellStyle name="Cálculo 5 2 3 2 3 2" xfId="4204"/>
    <cellStyle name="Cálculo 5 2 3 2 3 2 2" xfId="4205"/>
    <cellStyle name="Cálculo 5 2 3 2 3 3" xfId="4206"/>
    <cellStyle name="Cálculo 5 2 3 2 3 3 2" xfId="4207"/>
    <cellStyle name="Cálculo 5 2 3 2 3 4" xfId="4208"/>
    <cellStyle name="Cálculo 5 2 3 2 3 4 2" xfId="4209"/>
    <cellStyle name="Cálculo 5 2 3 2 4" xfId="4210"/>
    <cellStyle name="Cálculo 5 2 3 2 4 2" xfId="4211"/>
    <cellStyle name="Cálculo 5 2 3 2 5" xfId="4212"/>
    <cellStyle name="Cálculo 5 2 3 2 5 2" xfId="4213"/>
    <cellStyle name="Cálculo 5 2 3 2 6" xfId="4214"/>
    <cellStyle name="Cálculo 5 2 3 2 6 2" xfId="4215"/>
    <cellStyle name="Cálculo 5 2 3 3" xfId="4216"/>
    <cellStyle name="Cálculo 5 2 3 3 2" xfId="4217"/>
    <cellStyle name="Cálculo 5 2 3 3 2 2" xfId="4218"/>
    <cellStyle name="Cálculo 5 2 3 3 3" xfId="4219"/>
    <cellStyle name="Cálculo 5 2 3 3 3 2" xfId="4220"/>
    <cellStyle name="Cálculo 5 2 3 3 4" xfId="4221"/>
    <cellStyle name="Cálculo 5 2 3 3 4 2" xfId="4222"/>
    <cellStyle name="Cálculo 5 2 3 4" xfId="4223"/>
    <cellStyle name="Cálculo 5 2 3 4 2" xfId="4224"/>
    <cellStyle name="Cálculo 5 2 3 4 2 2" xfId="4225"/>
    <cellStyle name="Cálculo 5 2 3 4 3" xfId="4226"/>
    <cellStyle name="Cálculo 5 2 3 4 3 2" xfId="4227"/>
    <cellStyle name="Cálculo 5 2 3 4 4" xfId="4228"/>
    <cellStyle name="Cálculo 5 2 3 4 4 2" xfId="4229"/>
    <cellStyle name="Cálculo 5 2 3 5" xfId="4230"/>
    <cellStyle name="Cálculo 5 2 3 5 2" xfId="4231"/>
    <cellStyle name="Cálculo 5 2 3 6" xfId="4232"/>
    <cellStyle name="Cálculo 5 2 3 6 2" xfId="4233"/>
    <cellStyle name="Cálculo 5 2 3 7" xfId="4234"/>
    <cellStyle name="Cálculo 5 2 3 7 2" xfId="4235"/>
    <cellStyle name="Cálculo 5 2 4" xfId="2102"/>
    <cellStyle name="Cálculo 5 2 4 2" xfId="2103"/>
    <cellStyle name="Cálculo 5 2 4 2 2" xfId="4236"/>
    <cellStyle name="Cálculo 5 2 4 2 2 2" xfId="4237"/>
    <cellStyle name="Cálculo 5 2 4 2 2 2 2" xfId="4238"/>
    <cellStyle name="Cálculo 5 2 4 2 2 3" xfId="4239"/>
    <cellStyle name="Cálculo 5 2 4 2 2 3 2" xfId="4240"/>
    <cellStyle name="Cálculo 5 2 4 2 2 4" xfId="4241"/>
    <cellStyle name="Cálculo 5 2 4 2 2 4 2" xfId="4242"/>
    <cellStyle name="Cálculo 5 2 4 2 3" xfId="4243"/>
    <cellStyle name="Cálculo 5 2 4 2 3 2" xfId="4244"/>
    <cellStyle name="Cálculo 5 2 4 2 3 2 2" xfId="4245"/>
    <cellStyle name="Cálculo 5 2 4 2 3 3" xfId="4246"/>
    <cellStyle name="Cálculo 5 2 4 2 3 3 2" xfId="4247"/>
    <cellStyle name="Cálculo 5 2 4 2 3 4" xfId="4248"/>
    <cellStyle name="Cálculo 5 2 4 2 3 4 2" xfId="4249"/>
    <cellStyle name="Cálculo 5 2 4 2 4" xfId="4250"/>
    <cellStyle name="Cálculo 5 2 4 2 4 2" xfId="4251"/>
    <cellStyle name="Cálculo 5 2 4 2 5" xfId="4252"/>
    <cellStyle name="Cálculo 5 2 4 2 5 2" xfId="4253"/>
    <cellStyle name="Cálculo 5 2 4 2 6" xfId="4254"/>
    <cellStyle name="Cálculo 5 2 4 2 6 2" xfId="4255"/>
    <cellStyle name="Cálculo 5 2 4 3" xfId="4256"/>
    <cellStyle name="Cálculo 5 2 4 3 2" xfId="4257"/>
    <cellStyle name="Cálculo 5 2 4 3 2 2" xfId="4258"/>
    <cellStyle name="Cálculo 5 2 4 3 3" xfId="4259"/>
    <cellStyle name="Cálculo 5 2 4 3 3 2" xfId="4260"/>
    <cellStyle name="Cálculo 5 2 4 3 4" xfId="4261"/>
    <cellStyle name="Cálculo 5 2 4 3 4 2" xfId="4262"/>
    <cellStyle name="Cálculo 5 2 4 4" xfId="4263"/>
    <cellStyle name="Cálculo 5 2 4 4 2" xfId="4264"/>
    <cellStyle name="Cálculo 5 2 4 4 2 2" xfId="4265"/>
    <cellStyle name="Cálculo 5 2 4 4 3" xfId="4266"/>
    <cellStyle name="Cálculo 5 2 4 4 3 2" xfId="4267"/>
    <cellStyle name="Cálculo 5 2 4 4 4" xfId="4268"/>
    <cellStyle name="Cálculo 5 2 4 4 4 2" xfId="4269"/>
    <cellStyle name="Cálculo 5 2 4 5" xfId="4270"/>
    <cellStyle name="Cálculo 5 2 4 5 2" xfId="4271"/>
    <cellStyle name="Cálculo 5 2 4 6" xfId="4272"/>
    <cellStyle name="Cálculo 5 2 4 6 2" xfId="4273"/>
    <cellStyle name="Cálculo 5 2 4 7" xfId="4274"/>
    <cellStyle name="Cálculo 5 2 4 7 2" xfId="4275"/>
    <cellStyle name="Cálculo 5 2 5" xfId="2104"/>
    <cellStyle name="Cálculo 5 2 5 2" xfId="4276"/>
    <cellStyle name="Cálculo 5 2 5 2 2" xfId="4277"/>
    <cellStyle name="Cálculo 5 2 5 2 2 2" xfId="4278"/>
    <cellStyle name="Cálculo 5 2 5 2 3" xfId="4279"/>
    <cellStyle name="Cálculo 5 2 5 2 3 2" xfId="4280"/>
    <cellStyle name="Cálculo 5 2 5 2 4" xfId="4281"/>
    <cellStyle name="Cálculo 5 2 5 2 4 2" xfId="4282"/>
    <cellStyle name="Cálculo 5 2 5 3" xfId="4283"/>
    <cellStyle name="Cálculo 5 2 5 3 2" xfId="4284"/>
    <cellStyle name="Cálculo 5 2 5 3 2 2" xfId="4285"/>
    <cellStyle name="Cálculo 5 2 5 3 3" xfId="4286"/>
    <cellStyle name="Cálculo 5 2 5 3 3 2" xfId="4287"/>
    <cellStyle name="Cálculo 5 2 5 3 4" xfId="4288"/>
    <cellStyle name="Cálculo 5 2 5 3 4 2" xfId="4289"/>
    <cellStyle name="Cálculo 5 2 5 4" xfId="4290"/>
    <cellStyle name="Cálculo 5 2 5 4 2" xfId="4291"/>
    <cellStyle name="Cálculo 5 2 5 5" xfId="4292"/>
    <cellStyle name="Cálculo 5 2 5 5 2" xfId="4293"/>
    <cellStyle name="Cálculo 5 2 5 6" xfId="4294"/>
    <cellStyle name="Cálculo 5 2 5 6 2" xfId="4295"/>
    <cellStyle name="Cálculo 5 2 6" xfId="4296"/>
    <cellStyle name="Cálculo 5 2 6 2" xfId="4297"/>
    <cellStyle name="Cálculo 5 2 6 2 2" xfId="4298"/>
    <cellStyle name="Cálculo 5 2 6 3" xfId="4299"/>
    <cellStyle name="Cálculo 5 2 6 3 2" xfId="4300"/>
    <cellStyle name="Cálculo 5 2 6 4" xfId="4301"/>
    <cellStyle name="Cálculo 5 2 6 4 2" xfId="4302"/>
    <cellStyle name="Cálculo 5 2 7" xfId="4303"/>
    <cellStyle name="Cálculo 5 2 7 2" xfId="4304"/>
    <cellStyle name="Cálculo 5 2 7 2 2" xfId="4305"/>
    <cellStyle name="Cálculo 5 2 7 3" xfId="4306"/>
    <cellStyle name="Cálculo 5 2 7 3 2" xfId="4307"/>
    <cellStyle name="Cálculo 5 2 7 4" xfId="4308"/>
    <cellStyle name="Cálculo 5 2 7 4 2" xfId="4309"/>
    <cellStyle name="Cálculo 5 2 8" xfId="4310"/>
    <cellStyle name="Cálculo 5 2 8 2" xfId="4311"/>
    <cellStyle name="Cálculo 5 2 9" xfId="4312"/>
    <cellStyle name="Cálculo 5 2 9 2" xfId="4313"/>
    <cellStyle name="Cálculo 5 3" xfId="2105"/>
    <cellStyle name="Cálculo 5 3 2" xfId="2106"/>
    <cellStyle name="Cálculo 5 3 2 2" xfId="4314"/>
    <cellStyle name="Cálculo 5 3 2 2 2" xfId="4315"/>
    <cellStyle name="Cálculo 5 3 2 2 2 2" xfId="4316"/>
    <cellStyle name="Cálculo 5 3 2 2 3" xfId="4317"/>
    <cellStyle name="Cálculo 5 3 2 2 3 2" xfId="4318"/>
    <cellStyle name="Cálculo 5 3 2 2 4" xfId="4319"/>
    <cellStyle name="Cálculo 5 3 2 2 4 2" xfId="4320"/>
    <cellStyle name="Cálculo 5 3 2 3" xfId="4321"/>
    <cellStyle name="Cálculo 5 3 2 3 2" xfId="4322"/>
    <cellStyle name="Cálculo 5 3 2 3 2 2" xfId="4323"/>
    <cellStyle name="Cálculo 5 3 2 3 3" xfId="4324"/>
    <cellStyle name="Cálculo 5 3 2 3 3 2" xfId="4325"/>
    <cellStyle name="Cálculo 5 3 2 3 4" xfId="4326"/>
    <cellStyle name="Cálculo 5 3 2 3 4 2" xfId="4327"/>
    <cellStyle name="Cálculo 5 3 2 4" xfId="4328"/>
    <cellStyle name="Cálculo 5 3 2 4 2" xfId="4329"/>
    <cellStyle name="Cálculo 5 3 2 5" xfId="4330"/>
    <cellStyle name="Cálculo 5 3 2 5 2" xfId="4331"/>
    <cellStyle name="Cálculo 5 3 2 6" xfId="4332"/>
    <cellStyle name="Cálculo 5 3 2 6 2" xfId="4333"/>
    <cellStyle name="Cálculo 5 3 3" xfId="4334"/>
    <cellStyle name="Cálculo 5 3 3 2" xfId="4335"/>
    <cellStyle name="Cálculo 5 3 3 2 2" xfId="4336"/>
    <cellStyle name="Cálculo 5 3 3 3" xfId="4337"/>
    <cellStyle name="Cálculo 5 3 3 3 2" xfId="4338"/>
    <cellStyle name="Cálculo 5 3 3 4" xfId="4339"/>
    <cellStyle name="Cálculo 5 3 3 4 2" xfId="4340"/>
    <cellStyle name="Cálculo 5 3 4" xfId="4341"/>
    <cellStyle name="Cálculo 5 3 4 2" xfId="4342"/>
    <cellStyle name="Cálculo 5 3 4 2 2" xfId="4343"/>
    <cellStyle name="Cálculo 5 3 4 3" xfId="4344"/>
    <cellStyle name="Cálculo 5 3 4 3 2" xfId="4345"/>
    <cellStyle name="Cálculo 5 3 4 4" xfId="4346"/>
    <cellStyle name="Cálculo 5 3 4 4 2" xfId="4347"/>
    <cellStyle name="Cálculo 5 3 5" xfId="4348"/>
    <cellStyle name="Cálculo 5 3 5 2" xfId="4349"/>
    <cellStyle name="Cálculo 5 3 6" xfId="4350"/>
    <cellStyle name="Cálculo 5 3 6 2" xfId="4351"/>
    <cellStyle name="Cálculo 5 3 7" xfId="4352"/>
    <cellStyle name="Cálculo 5 3 7 2" xfId="4353"/>
    <cellStyle name="Cálculo 5 4" xfId="2107"/>
    <cellStyle name="Cálculo 5 4 2" xfId="2108"/>
    <cellStyle name="Cálculo 5 4 2 2" xfId="4354"/>
    <cellStyle name="Cálculo 5 4 2 2 2" xfId="4355"/>
    <cellStyle name="Cálculo 5 4 2 2 2 2" xfId="4356"/>
    <cellStyle name="Cálculo 5 4 2 2 3" xfId="4357"/>
    <cellStyle name="Cálculo 5 4 2 2 3 2" xfId="4358"/>
    <cellStyle name="Cálculo 5 4 2 2 4" xfId="4359"/>
    <cellStyle name="Cálculo 5 4 2 2 4 2" xfId="4360"/>
    <cellStyle name="Cálculo 5 4 2 3" xfId="4361"/>
    <cellStyle name="Cálculo 5 4 2 3 2" xfId="4362"/>
    <cellStyle name="Cálculo 5 4 2 3 2 2" xfId="4363"/>
    <cellStyle name="Cálculo 5 4 2 3 3" xfId="4364"/>
    <cellStyle name="Cálculo 5 4 2 3 3 2" xfId="4365"/>
    <cellStyle name="Cálculo 5 4 2 3 4" xfId="4366"/>
    <cellStyle name="Cálculo 5 4 2 3 4 2" xfId="4367"/>
    <cellStyle name="Cálculo 5 4 2 4" xfId="4368"/>
    <cellStyle name="Cálculo 5 4 2 4 2" xfId="4369"/>
    <cellStyle name="Cálculo 5 4 2 5" xfId="4370"/>
    <cellStyle name="Cálculo 5 4 2 5 2" xfId="4371"/>
    <cellStyle name="Cálculo 5 4 2 6" xfId="4372"/>
    <cellStyle name="Cálculo 5 4 2 6 2" xfId="4373"/>
    <cellStyle name="Cálculo 5 4 3" xfId="4374"/>
    <cellStyle name="Cálculo 5 4 3 2" xfId="4375"/>
    <cellStyle name="Cálculo 5 4 3 2 2" xfId="4376"/>
    <cellStyle name="Cálculo 5 4 3 3" xfId="4377"/>
    <cellStyle name="Cálculo 5 4 3 3 2" xfId="4378"/>
    <cellStyle name="Cálculo 5 4 3 4" xfId="4379"/>
    <cellStyle name="Cálculo 5 4 3 4 2" xfId="4380"/>
    <cellStyle name="Cálculo 5 4 4" xfId="4381"/>
    <cellStyle name="Cálculo 5 4 4 2" xfId="4382"/>
    <cellStyle name="Cálculo 5 4 4 2 2" xfId="4383"/>
    <cellStyle name="Cálculo 5 4 4 3" xfId="4384"/>
    <cellStyle name="Cálculo 5 4 4 3 2" xfId="4385"/>
    <cellStyle name="Cálculo 5 4 4 4" xfId="4386"/>
    <cellStyle name="Cálculo 5 4 4 4 2" xfId="4387"/>
    <cellStyle name="Cálculo 5 4 5" xfId="4388"/>
    <cellStyle name="Cálculo 5 4 5 2" xfId="4389"/>
    <cellStyle name="Cálculo 5 4 6" xfId="4390"/>
    <cellStyle name="Cálculo 5 4 6 2" xfId="4391"/>
    <cellStyle name="Cálculo 5 4 7" xfId="4392"/>
    <cellStyle name="Cálculo 5 4 7 2" xfId="4393"/>
    <cellStyle name="Cálculo 5 5" xfId="2109"/>
    <cellStyle name="Cálculo 5 5 2" xfId="2110"/>
    <cellStyle name="Cálculo 5 5 2 2" xfId="4394"/>
    <cellStyle name="Cálculo 5 5 2 2 2" xfId="4395"/>
    <cellStyle name="Cálculo 5 5 2 2 2 2" xfId="4396"/>
    <cellStyle name="Cálculo 5 5 2 2 3" xfId="4397"/>
    <cellStyle name="Cálculo 5 5 2 2 3 2" xfId="4398"/>
    <cellStyle name="Cálculo 5 5 2 2 4" xfId="4399"/>
    <cellStyle name="Cálculo 5 5 2 2 4 2" xfId="4400"/>
    <cellStyle name="Cálculo 5 5 2 3" xfId="4401"/>
    <cellStyle name="Cálculo 5 5 2 3 2" xfId="4402"/>
    <cellStyle name="Cálculo 5 5 2 3 2 2" xfId="4403"/>
    <cellStyle name="Cálculo 5 5 2 3 3" xfId="4404"/>
    <cellStyle name="Cálculo 5 5 2 3 3 2" xfId="4405"/>
    <cellStyle name="Cálculo 5 5 2 3 4" xfId="4406"/>
    <cellStyle name="Cálculo 5 5 2 3 4 2" xfId="4407"/>
    <cellStyle name="Cálculo 5 5 2 4" xfId="4408"/>
    <cellStyle name="Cálculo 5 5 2 4 2" xfId="4409"/>
    <cellStyle name="Cálculo 5 5 2 5" xfId="4410"/>
    <cellStyle name="Cálculo 5 5 2 5 2" xfId="4411"/>
    <cellStyle name="Cálculo 5 5 2 6" xfId="4412"/>
    <cellStyle name="Cálculo 5 5 2 6 2" xfId="4413"/>
    <cellStyle name="Cálculo 5 5 3" xfId="4414"/>
    <cellStyle name="Cálculo 5 5 3 2" xfId="4415"/>
    <cellStyle name="Cálculo 5 5 3 2 2" xfId="4416"/>
    <cellStyle name="Cálculo 5 5 3 3" xfId="4417"/>
    <cellStyle name="Cálculo 5 5 3 3 2" xfId="4418"/>
    <cellStyle name="Cálculo 5 5 3 4" xfId="4419"/>
    <cellStyle name="Cálculo 5 5 3 4 2" xfId="4420"/>
    <cellStyle name="Cálculo 5 5 4" xfId="4421"/>
    <cellStyle name="Cálculo 5 5 4 2" xfId="4422"/>
    <cellStyle name="Cálculo 5 5 4 2 2" xfId="4423"/>
    <cellStyle name="Cálculo 5 5 4 3" xfId="4424"/>
    <cellStyle name="Cálculo 5 5 4 3 2" xfId="4425"/>
    <cellStyle name="Cálculo 5 5 4 4" xfId="4426"/>
    <cellStyle name="Cálculo 5 5 4 4 2" xfId="4427"/>
    <cellStyle name="Cálculo 5 5 5" xfId="4428"/>
    <cellStyle name="Cálculo 5 5 5 2" xfId="4429"/>
    <cellStyle name="Cálculo 5 5 6" xfId="4430"/>
    <cellStyle name="Cálculo 5 5 6 2" xfId="4431"/>
    <cellStyle name="Cálculo 5 5 7" xfId="4432"/>
    <cellStyle name="Cálculo 5 5 7 2" xfId="4433"/>
    <cellStyle name="Cálculo 5 6" xfId="2111"/>
    <cellStyle name="Cálculo 5 6 2" xfId="4434"/>
    <cellStyle name="Cálculo 5 6 2 2" xfId="4435"/>
    <cellStyle name="Cálculo 5 6 2 2 2" xfId="4436"/>
    <cellStyle name="Cálculo 5 6 2 3" xfId="4437"/>
    <cellStyle name="Cálculo 5 6 2 3 2" xfId="4438"/>
    <cellStyle name="Cálculo 5 6 2 4" xfId="4439"/>
    <cellStyle name="Cálculo 5 6 2 4 2" xfId="4440"/>
    <cellStyle name="Cálculo 5 6 3" xfId="4441"/>
    <cellStyle name="Cálculo 5 6 3 2" xfId="4442"/>
    <cellStyle name="Cálculo 5 6 3 2 2" xfId="4443"/>
    <cellStyle name="Cálculo 5 6 3 3" xfId="4444"/>
    <cellStyle name="Cálculo 5 6 3 3 2" xfId="4445"/>
    <cellStyle name="Cálculo 5 6 3 4" xfId="4446"/>
    <cellStyle name="Cálculo 5 6 3 4 2" xfId="4447"/>
    <cellStyle name="Cálculo 5 6 4" xfId="4448"/>
    <cellStyle name="Cálculo 5 6 4 2" xfId="4449"/>
    <cellStyle name="Cálculo 5 6 5" xfId="4450"/>
    <cellStyle name="Cálculo 5 6 5 2" xfId="4451"/>
    <cellStyle name="Cálculo 5 6 6" xfId="4452"/>
    <cellStyle name="Cálculo 5 6 6 2" xfId="4453"/>
    <cellStyle name="Cálculo 5 7" xfId="4454"/>
    <cellStyle name="Cálculo 5 7 2" xfId="4455"/>
    <cellStyle name="Cálculo 5 7 2 2" xfId="4456"/>
    <cellStyle name="Cálculo 5 7 3" xfId="4457"/>
    <cellStyle name="Cálculo 5 7 3 2" xfId="4458"/>
    <cellStyle name="Cálculo 5 7 4" xfId="4459"/>
    <cellStyle name="Cálculo 5 7 4 2" xfId="4460"/>
    <cellStyle name="Cálculo 5 8" xfId="4461"/>
    <cellStyle name="Cálculo 5 8 2" xfId="4462"/>
    <cellStyle name="Cálculo 5 8 2 2" xfId="4463"/>
    <cellStyle name="Cálculo 5 8 3" xfId="4464"/>
    <cellStyle name="Cálculo 5 8 3 2" xfId="4465"/>
    <cellStyle name="Cálculo 5 8 4" xfId="4466"/>
    <cellStyle name="Cálculo 5 8 4 2" xfId="4467"/>
    <cellStyle name="Cálculo 5 9" xfId="4468"/>
    <cellStyle name="Cálculo 5 9 2" xfId="4469"/>
    <cellStyle name="Cálculo 6" xfId="499"/>
    <cellStyle name="Cálculo 6 2" xfId="4470"/>
    <cellStyle name="Cálculo 6 2 2" xfId="4471"/>
    <cellStyle name="Cálculo 6 2 2 2" xfId="4472"/>
    <cellStyle name="Cálculo 6 2 3" xfId="4473"/>
    <cellStyle name="Cálculo 6 2 3 2" xfId="4474"/>
    <cellStyle name="Cálculo 6 2 4" xfId="4475"/>
    <cellStyle name="Cálculo 6 2 4 2" xfId="4476"/>
    <cellStyle name="Cálculo 6 3" xfId="4477"/>
    <cellStyle name="Cálculo 6 3 2" xfId="4478"/>
    <cellStyle name="Cálculo 6 3 2 2" xfId="4479"/>
    <cellStyle name="Cálculo 6 3 3" xfId="4480"/>
    <cellStyle name="Cálculo 6 3 3 2" xfId="4481"/>
    <cellStyle name="Cálculo 6 3 4" xfId="4482"/>
    <cellStyle name="Cálculo 6 3 4 2" xfId="4483"/>
    <cellStyle name="Cálculo 6 4" xfId="4484"/>
    <cellStyle name="Cálculo 6 4 2" xfId="4485"/>
    <cellStyle name="Cálculo 6 5" xfId="4486"/>
    <cellStyle name="Cálculo 6 5 2" xfId="4487"/>
    <cellStyle name="Cálculo 6 6" xfId="4488"/>
    <cellStyle name="Cálculo 6 6 2" xfId="4489"/>
    <cellStyle name="Cálculo 7" xfId="500"/>
    <cellStyle name="Cálculo 7 2" xfId="4490"/>
    <cellStyle name="Cálculo 7 2 2" xfId="4491"/>
    <cellStyle name="Cálculo 7 2 2 2" xfId="4492"/>
    <cellStyle name="Cálculo 7 2 3" xfId="4493"/>
    <cellStyle name="Cálculo 7 2 3 2" xfId="4494"/>
    <cellStyle name="Cálculo 7 2 4" xfId="4495"/>
    <cellStyle name="Cálculo 7 2 4 2" xfId="4496"/>
    <cellStyle name="Cálculo 7 3" xfId="4497"/>
    <cellStyle name="Cálculo 7 3 2" xfId="4498"/>
    <cellStyle name="Cálculo 7 3 2 2" xfId="4499"/>
    <cellStyle name="Cálculo 7 3 3" xfId="4500"/>
    <cellStyle name="Cálculo 7 3 3 2" xfId="4501"/>
    <cellStyle name="Cálculo 7 3 4" xfId="4502"/>
    <cellStyle name="Cálculo 7 3 4 2" xfId="4503"/>
    <cellStyle name="Cálculo 7 4" xfId="4504"/>
    <cellStyle name="Cálculo 7 4 2" xfId="4505"/>
    <cellStyle name="Cálculo 7 5" xfId="4506"/>
    <cellStyle name="Cálculo 7 5 2" xfId="4507"/>
    <cellStyle name="Cálculo 7 6" xfId="4508"/>
    <cellStyle name="Cálculo 7 6 2" xfId="4509"/>
    <cellStyle name="Cálculo 8" xfId="501"/>
    <cellStyle name="Cálculo 8 2" xfId="4510"/>
    <cellStyle name="Cálculo 8 2 2" xfId="4511"/>
    <cellStyle name="Cálculo 8 2 2 2" xfId="4512"/>
    <cellStyle name="Cálculo 8 2 3" xfId="4513"/>
    <cellStyle name="Cálculo 8 2 3 2" xfId="4514"/>
    <cellStyle name="Cálculo 8 2 4" xfId="4515"/>
    <cellStyle name="Cálculo 8 2 4 2" xfId="4516"/>
    <cellStyle name="Cálculo 8 3" xfId="4517"/>
    <cellStyle name="Cálculo 8 3 2" xfId="4518"/>
    <cellStyle name="Cálculo 8 3 2 2" xfId="4519"/>
    <cellStyle name="Cálculo 8 3 3" xfId="4520"/>
    <cellStyle name="Cálculo 8 3 3 2" xfId="4521"/>
    <cellStyle name="Cálculo 8 3 4" xfId="4522"/>
    <cellStyle name="Cálculo 8 3 4 2" xfId="4523"/>
    <cellStyle name="Cálculo 8 4" xfId="4524"/>
    <cellStyle name="Cálculo 8 4 2" xfId="4525"/>
    <cellStyle name="Cálculo 8 5" xfId="4526"/>
    <cellStyle name="Cálculo 8 5 2" xfId="4527"/>
    <cellStyle name="Cálculo 8 6" xfId="4528"/>
    <cellStyle name="Cálculo 8 6 2" xfId="4529"/>
    <cellStyle name="Cálculo 9" xfId="502"/>
    <cellStyle name="Cálculo 9 2" xfId="4530"/>
    <cellStyle name="Cálculo 9 2 2" xfId="4531"/>
    <cellStyle name="Cálculo 9 2 2 2" xfId="4532"/>
    <cellStyle name="Cálculo 9 2 3" xfId="4533"/>
    <cellStyle name="Cálculo 9 2 3 2" xfId="4534"/>
    <cellStyle name="Cálculo 9 2 4" xfId="4535"/>
    <cellStyle name="Cálculo 9 2 4 2" xfId="4536"/>
    <cellStyle name="Cálculo 9 3" xfId="4537"/>
    <cellStyle name="Cálculo 9 3 2" xfId="4538"/>
    <cellStyle name="Cálculo 9 3 2 2" xfId="4539"/>
    <cellStyle name="Cálculo 9 3 3" xfId="4540"/>
    <cellStyle name="Cálculo 9 3 3 2" xfId="4541"/>
    <cellStyle name="Cálculo 9 3 4" xfId="4542"/>
    <cellStyle name="Cálculo 9 3 4 2" xfId="4543"/>
    <cellStyle name="Cálculo 9 4" xfId="4544"/>
    <cellStyle name="Cálculo 9 4 2" xfId="4545"/>
    <cellStyle name="Cálculo 9 5" xfId="4546"/>
    <cellStyle name="Cálculo 9 5 2" xfId="4547"/>
    <cellStyle name="Cálculo 9 6" xfId="4548"/>
    <cellStyle name="Cálculo 9 6 2" xfId="4549"/>
    <cellStyle name="carlos para 3 gerações" xfId="4550"/>
    <cellStyle name="carlos para 3 gerações 2" xfId="4551"/>
    <cellStyle name="carlos para 3 gerações 2 2" xfId="4552"/>
    <cellStyle name="carlos para 3 gerações 2 2 2" xfId="4553"/>
    <cellStyle name="carlos para 3 gerações 2 3" xfId="4554"/>
    <cellStyle name="carlos para 3 gerações 2 3 2" xfId="4555"/>
    <cellStyle name="carlos para 3 gerações 2 4" xfId="4556"/>
    <cellStyle name="carlos para 3 gerações 2 4 2" xfId="4557"/>
    <cellStyle name="carlos para 3 gerações 3" xfId="4558"/>
    <cellStyle name="carlos para 3 gerações 3 2" xfId="4559"/>
    <cellStyle name="carlos para 3 gerações 3 2 2" xfId="4560"/>
    <cellStyle name="carlos para 3 gerações 3 3" xfId="4561"/>
    <cellStyle name="carlos para 3 gerações 3 3 2" xfId="4562"/>
    <cellStyle name="carlos para 3 gerações 3 4" xfId="4563"/>
    <cellStyle name="carlos para 3 gerações 3 4 2" xfId="4564"/>
    <cellStyle name="carlos para 3 gerações 4" xfId="4565"/>
    <cellStyle name="carlos para 3 gerações 4 2" xfId="4566"/>
    <cellStyle name="carlos para 3 gerações 5" xfId="4567"/>
    <cellStyle name="carlos para 3 gerações 5 2" xfId="4568"/>
    <cellStyle name="carlos para 3 gerações 6" xfId="4569"/>
    <cellStyle name="carlos para 3 gerações 6 2" xfId="4570"/>
    <cellStyle name="cc1" xfId="4571"/>
    <cellStyle name="cc1 2" xfId="4572"/>
    <cellStyle name="cc1 3" xfId="4573"/>
    <cellStyle name="cc2" xfId="4574"/>
    <cellStyle name="cc2 2" xfId="4575"/>
    <cellStyle name="cc2 3" xfId="4576"/>
    <cellStyle name="cc3" xfId="4577"/>
    <cellStyle name="cc3 2" xfId="4578"/>
    <cellStyle name="cc3 3" xfId="4579"/>
    <cellStyle name="Célula de Verificação 10" xfId="503"/>
    <cellStyle name="Célula de Verificação 11" xfId="504"/>
    <cellStyle name="Célula de Verificação 12" xfId="505"/>
    <cellStyle name="Célula de Verificação 13" xfId="4580"/>
    <cellStyle name="Célula de Verificação 14" xfId="4581"/>
    <cellStyle name="Célula de Verificação 15" xfId="4582"/>
    <cellStyle name="Célula de Verificação 16" xfId="4583"/>
    <cellStyle name="Célula de Verificação 17" xfId="4584"/>
    <cellStyle name="Célula de Verificação 2" xfId="506"/>
    <cellStyle name="Célula de Verificação 2 2" xfId="507"/>
    <cellStyle name="Célula de Verificação 2 3" xfId="508"/>
    <cellStyle name="Célula de Verificação 2 4" xfId="509"/>
    <cellStyle name="Célula de Verificação 2 5" xfId="510"/>
    <cellStyle name="Célula de Verificação 2 6" xfId="511"/>
    <cellStyle name="Célula de Verificação 2_PIP" xfId="512"/>
    <cellStyle name="Célula de Verificação 3" xfId="513"/>
    <cellStyle name="Célula de Verificação 4" xfId="514"/>
    <cellStyle name="Célula de Verificação 5" xfId="515"/>
    <cellStyle name="Célula de Verificação 6" xfId="516"/>
    <cellStyle name="Célula de Verificação 7" xfId="517"/>
    <cellStyle name="Célula de Verificação 8" xfId="518"/>
    <cellStyle name="Célula de Verificação 9" xfId="519"/>
    <cellStyle name="Célula Vinculada 10" xfId="520"/>
    <cellStyle name="Célula Vinculada 11" xfId="521"/>
    <cellStyle name="Célula Vinculada 12" xfId="522"/>
    <cellStyle name="Célula Vinculada 13" xfId="4585"/>
    <cellStyle name="Célula Vinculada 14" xfId="4586"/>
    <cellStyle name="Célula Vinculada 15" xfId="4587"/>
    <cellStyle name="Célula Vinculada 16" xfId="4588"/>
    <cellStyle name="Célula Vinculada 17" xfId="4589"/>
    <cellStyle name="Célula Vinculada 2" xfId="523"/>
    <cellStyle name="Célula Vinculada 2 2" xfId="524"/>
    <cellStyle name="Célula Vinculada 2 3" xfId="525"/>
    <cellStyle name="Célula Vinculada 2 4" xfId="526"/>
    <cellStyle name="Célula Vinculada 2 5" xfId="527"/>
    <cellStyle name="Célula Vinculada 2 6" xfId="528"/>
    <cellStyle name="Célula Vinculada 2_PIP" xfId="529"/>
    <cellStyle name="Célula Vinculada 3" xfId="530"/>
    <cellStyle name="Célula Vinculada 3 2" xfId="2112"/>
    <cellStyle name="Célula Vinculada 4" xfId="531"/>
    <cellStyle name="Célula Vinculada 4 2" xfId="2113"/>
    <cellStyle name="Célula Vinculada 5" xfId="532"/>
    <cellStyle name="Célula Vinculada 5 2" xfId="2114"/>
    <cellStyle name="Célula Vinculada 6" xfId="533"/>
    <cellStyle name="Célula Vinculada 7" xfId="534"/>
    <cellStyle name="Célula Vinculada 8" xfId="535"/>
    <cellStyle name="Célula Vinculada 9" xfId="536"/>
    <cellStyle name="Check Cell" xfId="537"/>
    <cellStyle name="Check Cell 2" xfId="4590"/>
    <cellStyle name="Check Cell 3" xfId="4591"/>
    <cellStyle name="Check Cell 4" xfId="4592"/>
    <cellStyle name="Check Cell 5" xfId="4593"/>
    <cellStyle name="CN334" xfId="4594"/>
    <cellStyle name="cn442" xfId="4595"/>
    <cellStyle name="cn442 2" xfId="4596"/>
    <cellStyle name="cn442 3" xfId="4597"/>
    <cellStyle name="Comma" xfId="2115"/>
    <cellStyle name="Comma  - Style1" xfId="4598"/>
    <cellStyle name="Comma  - Style2" xfId="4599"/>
    <cellStyle name="Comma  - Style3" xfId="4600"/>
    <cellStyle name="Comma  - Style4" xfId="4601"/>
    <cellStyle name="Comma  - Style5" xfId="4602"/>
    <cellStyle name="Comma  - Style6" xfId="4603"/>
    <cellStyle name="Comma  - Style7" xfId="4604"/>
    <cellStyle name="Comma  - Style8" xfId="4605"/>
    <cellStyle name="Comma 10" xfId="4606"/>
    <cellStyle name="Comma 2" xfId="2116"/>
    <cellStyle name="Comma 2 2" xfId="4607"/>
    <cellStyle name="Comma 2 2 2" xfId="4608"/>
    <cellStyle name="Comma 2 3" xfId="4609"/>
    <cellStyle name="Comma 2 3 2" xfId="4610"/>
    <cellStyle name="Comma 2 4" xfId="4611"/>
    <cellStyle name="Comma 3" xfId="2117"/>
    <cellStyle name="Comma 3 2" xfId="4612"/>
    <cellStyle name="Comma 3 2 2" xfId="4613"/>
    <cellStyle name="Comma 3 3" xfId="4614"/>
    <cellStyle name="Comma 4" xfId="4615"/>
    <cellStyle name="Comma 4 2" xfId="4616"/>
    <cellStyle name="Comma 5" xfId="4617"/>
    <cellStyle name="Comma 5 2" xfId="4618"/>
    <cellStyle name="Comma 6" xfId="4619"/>
    <cellStyle name="Comma 6 2" xfId="4620"/>
    <cellStyle name="Comma 7" xfId="4621"/>
    <cellStyle name="Comma 7 2" xfId="4622"/>
    <cellStyle name="Comma 8" xfId="4623"/>
    <cellStyle name="Comma 8 2" xfId="4624"/>
    <cellStyle name="Comma 9" xfId="4625"/>
    <cellStyle name="Comma 9 2" xfId="4626"/>
    <cellStyle name="Comma0" xfId="2118"/>
    <cellStyle name="Comma0 - Modelo1" xfId="4627"/>
    <cellStyle name="Comma0 - Style1" xfId="4628"/>
    <cellStyle name="Comma1 - Modelo2" xfId="4629"/>
    <cellStyle name="Comma1 - Style2" xfId="4630"/>
    <cellStyle name="ct1" xfId="4631"/>
    <cellStyle name="ct1 2" xfId="4632"/>
    <cellStyle name="ct1 3" xfId="4633"/>
    <cellStyle name="ct1 4" xfId="4634"/>
    <cellStyle name="ct2" xfId="4635"/>
    <cellStyle name="ct2 2" xfId="4636"/>
    <cellStyle name="ct2 3" xfId="4637"/>
    <cellStyle name="ct2 4" xfId="4638"/>
    <cellStyle name="ctm1" xfId="4639"/>
    <cellStyle name="ctm1 2" xfId="4640"/>
    <cellStyle name="ctm1 3" xfId="4641"/>
    <cellStyle name="ctm1 4" xfId="4642"/>
    <cellStyle name="ctm2" xfId="4643"/>
    <cellStyle name="ctm2 2" xfId="4644"/>
    <cellStyle name="ctm2 3" xfId="4645"/>
    <cellStyle name="ctm2 4" xfId="4646"/>
    <cellStyle name="ctm3" xfId="4647"/>
    <cellStyle name="ctm3 2" xfId="4648"/>
    <cellStyle name="ctm3 3" xfId="4649"/>
    <cellStyle name="ctm3 4" xfId="4650"/>
    <cellStyle name="ctpp" xfId="4651"/>
    <cellStyle name="ctpp 2" xfId="4652"/>
    <cellStyle name="ctpp 3" xfId="4653"/>
    <cellStyle name="Currency (B)" xfId="2119"/>
    <cellStyle name="Currency (B) 10" xfId="4654"/>
    <cellStyle name="Currency (B) 10 2" xfId="4655"/>
    <cellStyle name="Currency (B) 11" xfId="4656"/>
    <cellStyle name="Currency (B) 11 2" xfId="4657"/>
    <cellStyle name="Currency (B) 2" xfId="2120"/>
    <cellStyle name="Currency (B) 2 2" xfId="2121"/>
    <cellStyle name="Currency (B) 2 2 2" xfId="4658"/>
    <cellStyle name="Currency (B) 2 2 2 2" xfId="4659"/>
    <cellStyle name="Currency (B) 2 2 2 2 2" xfId="4660"/>
    <cellStyle name="Currency (B) 2 2 2 2 3" xfId="4661"/>
    <cellStyle name="Currency (B) 2 2 2 2 3 2" xfId="4662"/>
    <cellStyle name="Currency (B) 2 2 2 2 4" xfId="4663"/>
    <cellStyle name="Currency (B) 2 2 2 2 4 2" xfId="4664"/>
    <cellStyle name="Currency (B) 2 2 2 2 5" xfId="4665"/>
    <cellStyle name="Currency (B) 2 2 2 2 5 2" xfId="4666"/>
    <cellStyle name="Currency (B) 2 2 2 3" xfId="4667"/>
    <cellStyle name="Currency (B) 2 2 2 3 2" xfId="4668"/>
    <cellStyle name="Currency (B) 2 2 2 3 3" xfId="4669"/>
    <cellStyle name="Currency (B) 2 2 2 3 3 2" xfId="4670"/>
    <cellStyle name="Currency (B) 2 2 2 3 4" xfId="4671"/>
    <cellStyle name="Currency (B) 2 2 2 3 4 2" xfId="4672"/>
    <cellStyle name="Currency (B) 2 2 2 3 5" xfId="4673"/>
    <cellStyle name="Currency (B) 2 2 2 3 5 2" xfId="4674"/>
    <cellStyle name="Currency (B) 2 2 2 4" xfId="4675"/>
    <cellStyle name="Currency (B) 2 2 2 5" xfId="4676"/>
    <cellStyle name="Currency (B) 2 2 2 5 2" xfId="4677"/>
    <cellStyle name="Currency (B) 2 2 2 6" xfId="4678"/>
    <cellStyle name="Currency (B) 2 2 2 6 2" xfId="4679"/>
    <cellStyle name="Currency (B) 2 2 2 7" xfId="4680"/>
    <cellStyle name="Currency (B) 2 2 2 7 2" xfId="4681"/>
    <cellStyle name="Currency (B) 2 2 3" xfId="4682"/>
    <cellStyle name="Currency (B) 2 2 3 2" xfId="4683"/>
    <cellStyle name="Currency (B) 2 2 3 3" xfId="4684"/>
    <cellStyle name="Currency (B) 2 2 3 3 2" xfId="4685"/>
    <cellStyle name="Currency (B) 2 2 3 4" xfId="4686"/>
    <cellStyle name="Currency (B) 2 2 3 4 2" xfId="4687"/>
    <cellStyle name="Currency (B) 2 2 3 5" xfId="4688"/>
    <cellStyle name="Currency (B) 2 2 3 5 2" xfId="4689"/>
    <cellStyle name="Currency (B) 2 2 4" xfId="4690"/>
    <cellStyle name="Currency (B) 2 2 5" xfId="4691"/>
    <cellStyle name="Currency (B) 2 2 5 2" xfId="4692"/>
    <cellStyle name="Currency (B) 2 2 6" xfId="4693"/>
    <cellStyle name="Currency (B) 2 2 6 2" xfId="4694"/>
    <cellStyle name="Currency (B) 2 2 7" xfId="4695"/>
    <cellStyle name="Currency (B) 2 2 7 2" xfId="4696"/>
    <cellStyle name="Currency (B) 2 3" xfId="4697"/>
    <cellStyle name="Currency (B) 2 3 2" xfId="4698"/>
    <cellStyle name="Currency (B) 2 3 2 2" xfId="4699"/>
    <cellStyle name="Currency (B) 2 3 2 3" xfId="4700"/>
    <cellStyle name="Currency (B) 2 3 2 3 2" xfId="4701"/>
    <cellStyle name="Currency (B) 2 3 2 4" xfId="4702"/>
    <cellStyle name="Currency (B) 2 3 2 4 2" xfId="4703"/>
    <cellStyle name="Currency (B) 2 3 2 5" xfId="4704"/>
    <cellStyle name="Currency (B) 2 3 2 5 2" xfId="4705"/>
    <cellStyle name="Currency (B) 2 3 3" xfId="4706"/>
    <cellStyle name="Currency (B) 2 3 3 2" xfId="4707"/>
    <cellStyle name="Currency (B) 2 3 3 3" xfId="4708"/>
    <cellStyle name="Currency (B) 2 3 3 3 2" xfId="4709"/>
    <cellStyle name="Currency (B) 2 3 3 4" xfId="4710"/>
    <cellStyle name="Currency (B) 2 3 3 4 2" xfId="4711"/>
    <cellStyle name="Currency (B) 2 3 3 5" xfId="4712"/>
    <cellStyle name="Currency (B) 2 3 3 5 2" xfId="4713"/>
    <cellStyle name="Currency (B) 2 3 4" xfId="4714"/>
    <cellStyle name="Currency (B) 2 3 5" xfId="4715"/>
    <cellStyle name="Currency (B) 2 3 5 2" xfId="4716"/>
    <cellStyle name="Currency (B) 2 3 6" xfId="4717"/>
    <cellStyle name="Currency (B) 2 3 6 2" xfId="4718"/>
    <cellStyle name="Currency (B) 2 3 7" xfId="4719"/>
    <cellStyle name="Currency (B) 2 3 7 2" xfId="4720"/>
    <cellStyle name="Currency (B) 2 4" xfId="4721"/>
    <cellStyle name="Currency (B) 2 4 2" xfId="4722"/>
    <cellStyle name="Currency (B) 2 4 3" xfId="4723"/>
    <cellStyle name="Currency (B) 2 4 3 2" xfId="4724"/>
    <cellStyle name="Currency (B) 2 4 4" xfId="4725"/>
    <cellStyle name="Currency (B) 2 4 4 2" xfId="4726"/>
    <cellStyle name="Currency (B) 2 4 5" xfId="4727"/>
    <cellStyle name="Currency (B) 2 4 5 2" xfId="4728"/>
    <cellStyle name="Currency (B) 2 5" xfId="4729"/>
    <cellStyle name="Currency (B) 2 6" xfId="4730"/>
    <cellStyle name="Currency (B) 2 6 2" xfId="4731"/>
    <cellStyle name="Currency (B) 2 7" xfId="4732"/>
    <cellStyle name="Currency (B) 2 7 2" xfId="4733"/>
    <cellStyle name="Currency (B) 2 8" xfId="4734"/>
    <cellStyle name="Currency (B) 2 8 2" xfId="4735"/>
    <cellStyle name="Currency (B) 3" xfId="2122"/>
    <cellStyle name="Currency (B) 3 2" xfId="2123"/>
    <cellStyle name="Currency (B) 3 2 2" xfId="4736"/>
    <cellStyle name="Currency (B) 3 2 2 2" xfId="4737"/>
    <cellStyle name="Currency (B) 3 2 2 2 2" xfId="4738"/>
    <cellStyle name="Currency (B) 3 2 2 2 3" xfId="4739"/>
    <cellStyle name="Currency (B) 3 2 2 2 3 2" xfId="4740"/>
    <cellStyle name="Currency (B) 3 2 2 2 4" xfId="4741"/>
    <cellStyle name="Currency (B) 3 2 2 2 4 2" xfId="4742"/>
    <cellStyle name="Currency (B) 3 2 2 2 5" xfId="4743"/>
    <cellStyle name="Currency (B) 3 2 2 2 5 2" xfId="4744"/>
    <cellStyle name="Currency (B) 3 2 2 3" xfId="4745"/>
    <cellStyle name="Currency (B) 3 2 2 3 2" xfId="4746"/>
    <cellStyle name="Currency (B) 3 2 2 3 3" xfId="4747"/>
    <cellStyle name="Currency (B) 3 2 2 3 3 2" xfId="4748"/>
    <cellStyle name="Currency (B) 3 2 2 3 4" xfId="4749"/>
    <cellStyle name="Currency (B) 3 2 2 3 4 2" xfId="4750"/>
    <cellStyle name="Currency (B) 3 2 2 3 5" xfId="4751"/>
    <cellStyle name="Currency (B) 3 2 2 3 5 2" xfId="4752"/>
    <cellStyle name="Currency (B) 3 2 2 4" xfId="4753"/>
    <cellStyle name="Currency (B) 3 2 2 5" xfId="4754"/>
    <cellStyle name="Currency (B) 3 2 2 5 2" xfId="4755"/>
    <cellStyle name="Currency (B) 3 2 2 6" xfId="4756"/>
    <cellStyle name="Currency (B) 3 2 2 6 2" xfId="4757"/>
    <cellStyle name="Currency (B) 3 2 2 7" xfId="4758"/>
    <cellStyle name="Currency (B) 3 2 2 7 2" xfId="4759"/>
    <cellStyle name="Currency (B) 3 2 3" xfId="4760"/>
    <cellStyle name="Currency (B) 3 2 3 2" xfId="4761"/>
    <cellStyle name="Currency (B) 3 2 3 3" xfId="4762"/>
    <cellStyle name="Currency (B) 3 2 3 3 2" xfId="4763"/>
    <cellStyle name="Currency (B) 3 2 3 4" xfId="4764"/>
    <cellStyle name="Currency (B) 3 2 3 4 2" xfId="4765"/>
    <cellStyle name="Currency (B) 3 2 3 5" xfId="4766"/>
    <cellStyle name="Currency (B) 3 2 3 5 2" xfId="4767"/>
    <cellStyle name="Currency (B) 3 2 4" xfId="4768"/>
    <cellStyle name="Currency (B) 3 2 5" xfId="4769"/>
    <cellStyle name="Currency (B) 3 2 5 2" xfId="4770"/>
    <cellStyle name="Currency (B) 3 2 6" xfId="4771"/>
    <cellStyle name="Currency (B) 3 2 6 2" xfId="4772"/>
    <cellStyle name="Currency (B) 3 2 7" xfId="4773"/>
    <cellStyle name="Currency (B) 3 2 7 2" xfId="4774"/>
    <cellStyle name="Currency (B) 3 3" xfId="4775"/>
    <cellStyle name="Currency (B) 3 3 2" xfId="4776"/>
    <cellStyle name="Currency (B) 3 3 2 2" xfId="4777"/>
    <cellStyle name="Currency (B) 3 3 2 3" xfId="4778"/>
    <cellStyle name="Currency (B) 3 3 2 3 2" xfId="4779"/>
    <cellStyle name="Currency (B) 3 3 2 4" xfId="4780"/>
    <cellStyle name="Currency (B) 3 3 2 4 2" xfId="4781"/>
    <cellStyle name="Currency (B) 3 3 2 5" xfId="4782"/>
    <cellStyle name="Currency (B) 3 3 2 5 2" xfId="4783"/>
    <cellStyle name="Currency (B) 3 3 3" xfId="4784"/>
    <cellStyle name="Currency (B) 3 3 3 2" xfId="4785"/>
    <cellStyle name="Currency (B) 3 3 3 3" xfId="4786"/>
    <cellStyle name="Currency (B) 3 3 3 3 2" xfId="4787"/>
    <cellStyle name="Currency (B) 3 3 3 4" xfId="4788"/>
    <cellStyle name="Currency (B) 3 3 3 4 2" xfId="4789"/>
    <cellStyle name="Currency (B) 3 3 3 5" xfId="4790"/>
    <cellStyle name="Currency (B) 3 3 3 5 2" xfId="4791"/>
    <cellStyle name="Currency (B) 3 3 4" xfId="4792"/>
    <cellStyle name="Currency (B) 3 3 5" xfId="4793"/>
    <cellStyle name="Currency (B) 3 3 5 2" xfId="4794"/>
    <cellStyle name="Currency (B) 3 3 6" xfId="4795"/>
    <cellStyle name="Currency (B) 3 3 6 2" xfId="4796"/>
    <cellStyle name="Currency (B) 3 3 7" xfId="4797"/>
    <cellStyle name="Currency (B) 3 3 7 2" xfId="4798"/>
    <cellStyle name="Currency (B) 3 4" xfId="4799"/>
    <cellStyle name="Currency (B) 3 4 2" xfId="4800"/>
    <cellStyle name="Currency (B) 3 4 3" xfId="4801"/>
    <cellStyle name="Currency (B) 3 4 3 2" xfId="4802"/>
    <cellStyle name="Currency (B) 3 4 4" xfId="4803"/>
    <cellStyle name="Currency (B) 3 4 4 2" xfId="4804"/>
    <cellStyle name="Currency (B) 3 4 5" xfId="4805"/>
    <cellStyle name="Currency (B) 3 4 5 2" xfId="4806"/>
    <cellStyle name="Currency (B) 3 5" xfId="4807"/>
    <cellStyle name="Currency (B) 3 6" xfId="4808"/>
    <cellStyle name="Currency (B) 3 6 2" xfId="4809"/>
    <cellStyle name="Currency (B) 3 7" xfId="4810"/>
    <cellStyle name="Currency (B) 3 7 2" xfId="4811"/>
    <cellStyle name="Currency (B) 3 8" xfId="4812"/>
    <cellStyle name="Currency (B) 3 8 2" xfId="4813"/>
    <cellStyle name="Currency (B) 4" xfId="2124"/>
    <cellStyle name="Currency (B) 4 2" xfId="2125"/>
    <cellStyle name="Currency (B) 4 2 2" xfId="4814"/>
    <cellStyle name="Currency (B) 4 2 2 2" xfId="4815"/>
    <cellStyle name="Currency (B) 4 2 2 2 2" xfId="4816"/>
    <cellStyle name="Currency (B) 4 2 2 2 3" xfId="4817"/>
    <cellStyle name="Currency (B) 4 2 2 2 3 2" xfId="4818"/>
    <cellStyle name="Currency (B) 4 2 2 2 4" xfId="4819"/>
    <cellStyle name="Currency (B) 4 2 2 2 4 2" xfId="4820"/>
    <cellStyle name="Currency (B) 4 2 2 2 5" xfId="4821"/>
    <cellStyle name="Currency (B) 4 2 2 2 5 2" xfId="4822"/>
    <cellStyle name="Currency (B) 4 2 2 3" xfId="4823"/>
    <cellStyle name="Currency (B) 4 2 2 3 2" xfId="4824"/>
    <cellStyle name="Currency (B) 4 2 2 3 3" xfId="4825"/>
    <cellStyle name="Currency (B) 4 2 2 3 3 2" xfId="4826"/>
    <cellStyle name="Currency (B) 4 2 2 3 4" xfId="4827"/>
    <cellStyle name="Currency (B) 4 2 2 3 4 2" xfId="4828"/>
    <cellStyle name="Currency (B) 4 2 2 3 5" xfId="4829"/>
    <cellStyle name="Currency (B) 4 2 2 3 5 2" xfId="4830"/>
    <cellStyle name="Currency (B) 4 2 2 4" xfId="4831"/>
    <cellStyle name="Currency (B) 4 2 2 5" xfId="4832"/>
    <cellStyle name="Currency (B) 4 2 2 5 2" xfId="4833"/>
    <cellStyle name="Currency (B) 4 2 2 6" xfId="4834"/>
    <cellStyle name="Currency (B) 4 2 2 6 2" xfId="4835"/>
    <cellStyle name="Currency (B) 4 2 2 7" xfId="4836"/>
    <cellStyle name="Currency (B) 4 2 2 7 2" xfId="4837"/>
    <cellStyle name="Currency (B) 4 2 3" xfId="4838"/>
    <cellStyle name="Currency (B) 4 2 3 2" xfId="4839"/>
    <cellStyle name="Currency (B) 4 2 3 3" xfId="4840"/>
    <cellStyle name="Currency (B) 4 2 3 3 2" xfId="4841"/>
    <cellStyle name="Currency (B) 4 2 3 4" xfId="4842"/>
    <cellStyle name="Currency (B) 4 2 3 4 2" xfId="4843"/>
    <cellStyle name="Currency (B) 4 2 3 5" xfId="4844"/>
    <cellStyle name="Currency (B) 4 2 3 5 2" xfId="4845"/>
    <cellStyle name="Currency (B) 4 2 4" xfId="4846"/>
    <cellStyle name="Currency (B) 4 2 5" xfId="4847"/>
    <cellStyle name="Currency (B) 4 2 5 2" xfId="4848"/>
    <cellStyle name="Currency (B) 4 2 6" xfId="4849"/>
    <cellStyle name="Currency (B) 4 2 6 2" xfId="4850"/>
    <cellStyle name="Currency (B) 4 2 7" xfId="4851"/>
    <cellStyle name="Currency (B) 4 2 7 2" xfId="4852"/>
    <cellStyle name="Currency (B) 4 3" xfId="4853"/>
    <cellStyle name="Currency (B) 4 3 2" xfId="4854"/>
    <cellStyle name="Currency (B) 4 3 2 2" xfId="4855"/>
    <cellStyle name="Currency (B) 4 3 2 3" xfId="4856"/>
    <cellStyle name="Currency (B) 4 3 2 3 2" xfId="4857"/>
    <cellStyle name="Currency (B) 4 3 2 4" xfId="4858"/>
    <cellStyle name="Currency (B) 4 3 2 4 2" xfId="4859"/>
    <cellStyle name="Currency (B) 4 3 2 5" xfId="4860"/>
    <cellStyle name="Currency (B) 4 3 2 5 2" xfId="4861"/>
    <cellStyle name="Currency (B) 4 3 3" xfId="4862"/>
    <cellStyle name="Currency (B) 4 3 3 2" xfId="4863"/>
    <cellStyle name="Currency (B) 4 3 3 3" xfId="4864"/>
    <cellStyle name="Currency (B) 4 3 3 3 2" xfId="4865"/>
    <cellStyle name="Currency (B) 4 3 3 4" xfId="4866"/>
    <cellStyle name="Currency (B) 4 3 3 4 2" xfId="4867"/>
    <cellStyle name="Currency (B) 4 3 3 5" xfId="4868"/>
    <cellStyle name="Currency (B) 4 3 3 5 2" xfId="4869"/>
    <cellStyle name="Currency (B) 4 3 4" xfId="4870"/>
    <cellStyle name="Currency (B) 4 3 5" xfId="4871"/>
    <cellStyle name="Currency (B) 4 3 5 2" xfId="4872"/>
    <cellStyle name="Currency (B) 4 3 6" xfId="4873"/>
    <cellStyle name="Currency (B) 4 3 6 2" xfId="4874"/>
    <cellStyle name="Currency (B) 4 3 7" xfId="4875"/>
    <cellStyle name="Currency (B) 4 3 7 2" xfId="4876"/>
    <cellStyle name="Currency (B) 4 4" xfId="4877"/>
    <cellStyle name="Currency (B) 4 4 2" xfId="4878"/>
    <cellStyle name="Currency (B) 4 4 3" xfId="4879"/>
    <cellStyle name="Currency (B) 4 4 3 2" xfId="4880"/>
    <cellStyle name="Currency (B) 4 4 4" xfId="4881"/>
    <cellStyle name="Currency (B) 4 4 4 2" xfId="4882"/>
    <cellStyle name="Currency (B) 4 4 5" xfId="4883"/>
    <cellStyle name="Currency (B) 4 4 5 2" xfId="4884"/>
    <cellStyle name="Currency (B) 4 5" xfId="4885"/>
    <cellStyle name="Currency (B) 4 6" xfId="4886"/>
    <cellStyle name="Currency (B) 4 6 2" xfId="4887"/>
    <cellStyle name="Currency (B) 4 7" xfId="4888"/>
    <cellStyle name="Currency (B) 4 7 2" xfId="4889"/>
    <cellStyle name="Currency (B) 4 8" xfId="4890"/>
    <cellStyle name="Currency (B) 4 8 2" xfId="4891"/>
    <cellStyle name="Currency (B) 5" xfId="2126"/>
    <cellStyle name="Currency (B) 5 2" xfId="4892"/>
    <cellStyle name="Currency (B) 5 2 2" xfId="4893"/>
    <cellStyle name="Currency (B) 5 2 2 2" xfId="4894"/>
    <cellStyle name="Currency (B) 5 2 2 3" xfId="4895"/>
    <cellStyle name="Currency (B) 5 2 2 3 2" xfId="4896"/>
    <cellStyle name="Currency (B) 5 2 2 4" xfId="4897"/>
    <cellStyle name="Currency (B) 5 2 2 4 2" xfId="4898"/>
    <cellStyle name="Currency (B) 5 2 2 5" xfId="4899"/>
    <cellStyle name="Currency (B) 5 2 2 5 2" xfId="4900"/>
    <cellStyle name="Currency (B) 5 2 3" xfId="4901"/>
    <cellStyle name="Currency (B) 5 2 3 2" xfId="4902"/>
    <cellStyle name="Currency (B) 5 2 3 3" xfId="4903"/>
    <cellStyle name="Currency (B) 5 2 3 3 2" xfId="4904"/>
    <cellStyle name="Currency (B) 5 2 3 4" xfId="4905"/>
    <cellStyle name="Currency (B) 5 2 3 4 2" xfId="4906"/>
    <cellStyle name="Currency (B) 5 2 3 5" xfId="4907"/>
    <cellStyle name="Currency (B) 5 2 3 5 2" xfId="4908"/>
    <cellStyle name="Currency (B) 5 2 4" xfId="4909"/>
    <cellStyle name="Currency (B) 5 2 5" xfId="4910"/>
    <cellStyle name="Currency (B) 5 2 5 2" xfId="4911"/>
    <cellStyle name="Currency (B) 5 2 6" xfId="4912"/>
    <cellStyle name="Currency (B) 5 2 6 2" xfId="4913"/>
    <cellStyle name="Currency (B) 5 2 7" xfId="4914"/>
    <cellStyle name="Currency (B) 5 2 7 2" xfId="4915"/>
    <cellStyle name="Currency (B) 5 3" xfId="4916"/>
    <cellStyle name="Currency (B) 5 3 2" xfId="4917"/>
    <cellStyle name="Currency (B) 5 3 3" xfId="4918"/>
    <cellStyle name="Currency (B) 5 3 3 2" xfId="4919"/>
    <cellStyle name="Currency (B) 5 3 4" xfId="4920"/>
    <cellStyle name="Currency (B) 5 3 4 2" xfId="4921"/>
    <cellStyle name="Currency (B) 5 3 5" xfId="4922"/>
    <cellStyle name="Currency (B) 5 3 5 2" xfId="4923"/>
    <cellStyle name="Currency (B) 5 4" xfId="4924"/>
    <cellStyle name="Currency (B) 5 5" xfId="4925"/>
    <cellStyle name="Currency (B) 5 5 2" xfId="4926"/>
    <cellStyle name="Currency (B) 5 6" xfId="4927"/>
    <cellStyle name="Currency (B) 5 6 2" xfId="4928"/>
    <cellStyle name="Currency (B) 5 7" xfId="4929"/>
    <cellStyle name="Currency (B) 5 7 2" xfId="4930"/>
    <cellStyle name="Currency (B) 6" xfId="4931"/>
    <cellStyle name="Currency (B) 6 2" xfId="4932"/>
    <cellStyle name="Currency (B) 6 2 2" xfId="4933"/>
    <cellStyle name="Currency (B) 6 2 3" xfId="4934"/>
    <cellStyle name="Currency (B) 6 2 3 2" xfId="4935"/>
    <cellStyle name="Currency (B) 6 2 4" xfId="4936"/>
    <cellStyle name="Currency (B) 6 2 4 2" xfId="4937"/>
    <cellStyle name="Currency (B) 6 2 5" xfId="4938"/>
    <cellStyle name="Currency (B) 6 2 5 2" xfId="4939"/>
    <cellStyle name="Currency (B) 6 3" xfId="4940"/>
    <cellStyle name="Currency (B) 6 3 2" xfId="4941"/>
    <cellStyle name="Currency (B) 6 3 3" xfId="4942"/>
    <cellStyle name="Currency (B) 6 3 3 2" xfId="4943"/>
    <cellStyle name="Currency (B) 6 3 4" xfId="4944"/>
    <cellStyle name="Currency (B) 6 3 4 2" xfId="4945"/>
    <cellStyle name="Currency (B) 6 3 5" xfId="4946"/>
    <cellStyle name="Currency (B) 6 3 5 2" xfId="4947"/>
    <cellStyle name="Currency (B) 6 4" xfId="4948"/>
    <cellStyle name="Currency (B) 6 5" xfId="4949"/>
    <cellStyle name="Currency (B) 6 5 2" xfId="4950"/>
    <cellStyle name="Currency (B) 6 6" xfId="4951"/>
    <cellStyle name="Currency (B) 6 6 2" xfId="4952"/>
    <cellStyle name="Currency (B) 6 7" xfId="4953"/>
    <cellStyle name="Currency (B) 6 7 2" xfId="4954"/>
    <cellStyle name="Currency (B) 7" xfId="4955"/>
    <cellStyle name="Currency (B) 7 2" xfId="4956"/>
    <cellStyle name="Currency (B) 7 3" xfId="4957"/>
    <cellStyle name="Currency (B) 7 3 2" xfId="4958"/>
    <cellStyle name="Currency (B) 7 4" xfId="4959"/>
    <cellStyle name="Currency (B) 7 4 2" xfId="4960"/>
    <cellStyle name="Currency (B) 7 5" xfId="4961"/>
    <cellStyle name="Currency (B) 7 5 2" xfId="4962"/>
    <cellStyle name="Currency (B) 8" xfId="4963"/>
    <cellStyle name="Currency (B) 9" xfId="4964"/>
    <cellStyle name="Currency (B) 9 2" xfId="4965"/>
    <cellStyle name="Currency 2" xfId="4966"/>
    <cellStyle name="Currency 2 2" xfId="4967"/>
    <cellStyle name="Currency 2 3" xfId="4968"/>
    <cellStyle name="Currency_Book2" xfId="4969"/>
    <cellStyle name="Currency0" xfId="2127"/>
    <cellStyle name="Dash" xfId="4970"/>
    <cellStyle name="Data" xfId="538"/>
    <cellStyle name="Data 2" xfId="4971"/>
    <cellStyle name="Data 3" xfId="4972"/>
    <cellStyle name="Data 4" xfId="4973"/>
    <cellStyle name="Data Gráficos" xfId="4974"/>
    <cellStyle name="Datas Tabelas Gráficos" xfId="4975"/>
    <cellStyle name="Date" xfId="539"/>
    <cellStyle name="Dezimal [0]_44" xfId="4976"/>
    <cellStyle name="Dezimal_44" xfId="4977"/>
    <cellStyle name="Dia" xfId="4978"/>
    <cellStyle name="divisao" xfId="4979"/>
    <cellStyle name="DOH" xfId="2128"/>
    <cellStyle name="Emphasis 1" xfId="4980"/>
    <cellStyle name="Emphasis 2" xfId="4981"/>
    <cellStyle name="Emphasis 3" xfId="4982"/>
    <cellStyle name="Encabez1" xfId="4983"/>
    <cellStyle name="Encabez2" xfId="4984"/>
    <cellStyle name="Ênfase1 10" xfId="540"/>
    <cellStyle name="Ênfase1 11" xfId="541"/>
    <cellStyle name="Ênfase1 12" xfId="542"/>
    <cellStyle name="Ênfase1 13" xfId="4985"/>
    <cellStyle name="Ênfase1 14" xfId="4986"/>
    <cellStyle name="Ênfase1 15" xfId="4987"/>
    <cellStyle name="Ênfase1 16" xfId="4988"/>
    <cellStyle name="Ênfase1 2" xfId="543"/>
    <cellStyle name="Ênfase1 2 2" xfId="544"/>
    <cellStyle name="Ênfase1 2 3" xfId="545"/>
    <cellStyle name="Ênfase1 2 4" xfId="546"/>
    <cellStyle name="Ênfase1 2 5" xfId="547"/>
    <cellStyle name="Ênfase1 2 6" xfId="548"/>
    <cellStyle name="Ênfase1 3" xfId="549"/>
    <cellStyle name="Ênfase1 3 2" xfId="2129"/>
    <cellStyle name="Ênfase1 4" xfId="550"/>
    <cellStyle name="Ênfase1 4 2" xfId="2130"/>
    <cellStyle name="Ênfase1 5" xfId="551"/>
    <cellStyle name="Ênfase1 5 2" xfId="2131"/>
    <cellStyle name="Ênfase1 6" xfId="552"/>
    <cellStyle name="Ênfase1 7" xfId="553"/>
    <cellStyle name="Ênfase1 8" xfId="554"/>
    <cellStyle name="Ênfase1 9" xfId="555"/>
    <cellStyle name="Ênfase2 10" xfId="556"/>
    <cellStyle name="Ênfase2 11" xfId="557"/>
    <cellStyle name="Ênfase2 12" xfId="558"/>
    <cellStyle name="Ênfase2 13" xfId="4989"/>
    <cellStyle name="Ênfase2 14" xfId="4990"/>
    <cellStyle name="Ênfase2 15" xfId="4991"/>
    <cellStyle name="Ênfase2 16" xfId="4992"/>
    <cellStyle name="Ênfase2 2" xfId="559"/>
    <cellStyle name="Ênfase2 2 2" xfId="560"/>
    <cellStyle name="Ênfase2 2 3" xfId="561"/>
    <cellStyle name="Ênfase2 2 4" xfId="562"/>
    <cellStyle name="Ênfase2 2 5" xfId="563"/>
    <cellStyle name="Ênfase2 2 6" xfId="564"/>
    <cellStyle name="Ênfase2 3" xfId="565"/>
    <cellStyle name="Ênfase2 3 2" xfId="2132"/>
    <cellStyle name="Ênfase2 4" xfId="566"/>
    <cellStyle name="Ênfase2 4 2" xfId="2133"/>
    <cellStyle name="Ênfase2 5" xfId="567"/>
    <cellStyle name="Ênfase2 5 2" xfId="2134"/>
    <cellStyle name="Ênfase2 6" xfId="568"/>
    <cellStyle name="Ênfase2 7" xfId="569"/>
    <cellStyle name="Ênfase2 8" xfId="570"/>
    <cellStyle name="Ênfase2 9" xfId="571"/>
    <cellStyle name="Ênfase3 10" xfId="572"/>
    <cellStyle name="Ênfase3 11" xfId="573"/>
    <cellStyle name="Ênfase3 12" xfId="574"/>
    <cellStyle name="Ênfase3 13" xfId="4993"/>
    <cellStyle name="Ênfase3 14" xfId="4994"/>
    <cellStyle name="Ênfase3 15" xfId="4995"/>
    <cellStyle name="Ênfase3 16" xfId="4996"/>
    <cellStyle name="Ênfase3 2" xfId="575"/>
    <cellStyle name="Ênfase3 2 2" xfId="576"/>
    <cellStyle name="Ênfase3 2 3" xfId="577"/>
    <cellStyle name="Ênfase3 2 4" xfId="578"/>
    <cellStyle name="Ênfase3 2 5" xfId="579"/>
    <cellStyle name="Ênfase3 2 6" xfId="580"/>
    <cellStyle name="Ênfase3 3" xfId="581"/>
    <cellStyle name="Ênfase3 3 2" xfId="2135"/>
    <cellStyle name="Ênfase3 4" xfId="582"/>
    <cellStyle name="Ênfase3 4 2" xfId="2136"/>
    <cellStyle name="Ênfase3 5" xfId="583"/>
    <cellStyle name="Ênfase3 5 2" xfId="2137"/>
    <cellStyle name="Ênfase3 6" xfId="584"/>
    <cellStyle name="Ênfase3 7" xfId="585"/>
    <cellStyle name="Ênfase3 8" xfId="586"/>
    <cellStyle name="Ênfase3 9" xfId="587"/>
    <cellStyle name="Ênfase4 10" xfId="588"/>
    <cellStyle name="Ênfase4 11" xfId="589"/>
    <cellStyle name="Ênfase4 12" xfId="590"/>
    <cellStyle name="Ênfase4 13" xfId="4997"/>
    <cellStyle name="Ênfase4 14" xfId="4998"/>
    <cellStyle name="Ênfase4 15" xfId="4999"/>
    <cellStyle name="Ênfase4 16" xfId="5000"/>
    <cellStyle name="Ênfase4 2" xfId="591"/>
    <cellStyle name="Ênfase4 2 2" xfId="592"/>
    <cellStyle name="Ênfase4 2 3" xfId="593"/>
    <cellStyle name="Ênfase4 2 4" xfId="594"/>
    <cellStyle name="Ênfase4 2 5" xfId="595"/>
    <cellStyle name="Ênfase4 2 6" xfId="596"/>
    <cellStyle name="Ênfase4 3" xfId="597"/>
    <cellStyle name="Ênfase4 4" xfId="598"/>
    <cellStyle name="Ênfase4 5" xfId="599"/>
    <cellStyle name="Ênfase4 6" xfId="600"/>
    <cellStyle name="Ênfase4 7" xfId="601"/>
    <cellStyle name="Ênfase4 8" xfId="602"/>
    <cellStyle name="Ênfase4 9" xfId="603"/>
    <cellStyle name="Ênfase5 10" xfId="604"/>
    <cellStyle name="Ênfase5 11" xfId="605"/>
    <cellStyle name="Ênfase5 12" xfId="606"/>
    <cellStyle name="Ênfase5 13" xfId="5001"/>
    <cellStyle name="Ênfase5 14" xfId="5002"/>
    <cellStyle name="Ênfase5 15" xfId="5003"/>
    <cellStyle name="Ênfase5 16" xfId="5004"/>
    <cellStyle name="Ênfase5 2" xfId="607"/>
    <cellStyle name="Ênfase5 2 2" xfId="608"/>
    <cellStyle name="Ênfase5 2 3" xfId="609"/>
    <cellStyle name="Ênfase5 2 4" xfId="610"/>
    <cellStyle name="Ênfase5 2 5" xfId="611"/>
    <cellStyle name="Ênfase5 2 6" xfId="612"/>
    <cellStyle name="Ênfase5 3" xfId="613"/>
    <cellStyle name="Ênfase5 3 2" xfId="2138"/>
    <cellStyle name="Ênfase5 4" xfId="614"/>
    <cellStyle name="Ênfase5 4 2" xfId="2139"/>
    <cellStyle name="Ênfase5 5" xfId="615"/>
    <cellStyle name="Ênfase5 5 2" xfId="2140"/>
    <cellStyle name="Ênfase5 6" xfId="616"/>
    <cellStyle name="Ênfase5 7" xfId="617"/>
    <cellStyle name="Ênfase5 8" xfId="618"/>
    <cellStyle name="Ênfase5 9" xfId="619"/>
    <cellStyle name="Ênfase6 10" xfId="620"/>
    <cellStyle name="Ênfase6 11" xfId="621"/>
    <cellStyle name="Ênfase6 12" xfId="622"/>
    <cellStyle name="Ênfase6 13" xfId="5005"/>
    <cellStyle name="Ênfase6 14" xfId="5006"/>
    <cellStyle name="Ênfase6 15" xfId="5007"/>
    <cellStyle name="Ênfase6 16" xfId="5008"/>
    <cellStyle name="Ênfase6 2" xfId="623"/>
    <cellStyle name="Ênfase6 2 2" xfId="624"/>
    <cellStyle name="Ênfase6 2 3" xfId="625"/>
    <cellStyle name="Ênfase6 2 4" xfId="626"/>
    <cellStyle name="Ênfase6 2 5" xfId="627"/>
    <cellStyle name="Ênfase6 2 6" xfId="628"/>
    <cellStyle name="Ênfase6 3" xfId="629"/>
    <cellStyle name="Ênfase6 3 2" xfId="2141"/>
    <cellStyle name="Ênfase6 4" xfId="630"/>
    <cellStyle name="Ênfase6 4 2" xfId="2142"/>
    <cellStyle name="Ênfase6 5" xfId="631"/>
    <cellStyle name="Ênfase6 5 2" xfId="2143"/>
    <cellStyle name="Ênfase6 6" xfId="632"/>
    <cellStyle name="Ênfase6 7" xfId="633"/>
    <cellStyle name="Ênfase6 8" xfId="634"/>
    <cellStyle name="Ênfase6 9" xfId="635"/>
    <cellStyle name="Entrada 10" xfId="636"/>
    <cellStyle name="Entrada 10 2" xfId="5009"/>
    <cellStyle name="Entrada 10 2 2" xfId="5010"/>
    <cellStyle name="Entrada 10 2 2 2" xfId="5011"/>
    <cellStyle name="Entrada 10 2 3" xfId="5012"/>
    <cellStyle name="Entrada 10 2 3 2" xfId="5013"/>
    <cellStyle name="Entrada 10 2 4" xfId="5014"/>
    <cellStyle name="Entrada 10 2 4 2" xfId="5015"/>
    <cellStyle name="Entrada 10 3" xfId="5016"/>
    <cellStyle name="Entrada 10 3 2" xfId="5017"/>
    <cellStyle name="Entrada 10 3 2 2" xfId="5018"/>
    <cellStyle name="Entrada 10 3 3" xfId="5019"/>
    <cellStyle name="Entrada 10 3 3 2" xfId="5020"/>
    <cellStyle name="Entrada 10 3 4" xfId="5021"/>
    <cellStyle name="Entrada 10 3 4 2" xfId="5022"/>
    <cellStyle name="Entrada 10 4" xfId="5023"/>
    <cellStyle name="Entrada 10 4 2" xfId="5024"/>
    <cellStyle name="Entrada 10 5" xfId="5025"/>
    <cellStyle name="Entrada 10 5 2" xfId="5026"/>
    <cellStyle name="Entrada 10 6" xfId="5027"/>
    <cellStyle name="Entrada 10 6 2" xfId="5028"/>
    <cellStyle name="Entrada 11" xfId="637"/>
    <cellStyle name="Entrada 11 2" xfId="5029"/>
    <cellStyle name="Entrada 11 2 2" xfId="5030"/>
    <cellStyle name="Entrada 11 2 2 2" xfId="5031"/>
    <cellStyle name="Entrada 11 2 3" xfId="5032"/>
    <cellStyle name="Entrada 11 2 3 2" xfId="5033"/>
    <cellStyle name="Entrada 11 2 4" xfId="5034"/>
    <cellStyle name="Entrada 11 2 4 2" xfId="5035"/>
    <cellStyle name="Entrada 11 3" xfId="5036"/>
    <cellStyle name="Entrada 11 3 2" xfId="5037"/>
    <cellStyle name="Entrada 11 3 2 2" xfId="5038"/>
    <cellStyle name="Entrada 11 3 3" xfId="5039"/>
    <cellStyle name="Entrada 11 3 3 2" xfId="5040"/>
    <cellStyle name="Entrada 11 3 4" xfId="5041"/>
    <cellStyle name="Entrada 11 3 4 2" xfId="5042"/>
    <cellStyle name="Entrada 11 4" xfId="5043"/>
    <cellStyle name="Entrada 11 4 2" xfId="5044"/>
    <cellStyle name="Entrada 11 5" xfId="5045"/>
    <cellStyle name="Entrada 11 5 2" xfId="5046"/>
    <cellStyle name="Entrada 11 6" xfId="5047"/>
    <cellStyle name="Entrada 11 6 2" xfId="5048"/>
    <cellStyle name="Entrada 12" xfId="638"/>
    <cellStyle name="Entrada 12 2" xfId="5049"/>
    <cellStyle name="Entrada 12 2 2" xfId="5050"/>
    <cellStyle name="Entrada 12 2 2 2" xfId="5051"/>
    <cellStyle name="Entrada 12 2 3" xfId="5052"/>
    <cellStyle name="Entrada 12 2 3 2" xfId="5053"/>
    <cellStyle name="Entrada 12 2 4" xfId="5054"/>
    <cellStyle name="Entrada 12 2 4 2" xfId="5055"/>
    <cellStyle name="Entrada 12 3" xfId="5056"/>
    <cellStyle name="Entrada 12 3 2" xfId="5057"/>
    <cellStyle name="Entrada 12 3 2 2" xfId="5058"/>
    <cellStyle name="Entrada 12 3 3" xfId="5059"/>
    <cellStyle name="Entrada 12 3 3 2" xfId="5060"/>
    <cellStyle name="Entrada 12 3 4" xfId="5061"/>
    <cellStyle name="Entrada 12 3 4 2" xfId="5062"/>
    <cellStyle name="Entrada 12 4" xfId="5063"/>
    <cellStyle name="Entrada 12 4 2" xfId="5064"/>
    <cellStyle name="Entrada 12 5" xfId="5065"/>
    <cellStyle name="Entrada 12 5 2" xfId="5066"/>
    <cellStyle name="Entrada 12 6" xfId="5067"/>
    <cellStyle name="Entrada 12 6 2" xfId="5068"/>
    <cellStyle name="Entrada 13" xfId="2803"/>
    <cellStyle name="Entrada 13 2" xfId="5069"/>
    <cellStyle name="Entrada 13 2 2" xfId="5070"/>
    <cellStyle name="Entrada 13 2 2 2" xfId="5071"/>
    <cellStyle name="Entrada 13 2 3" xfId="5072"/>
    <cellStyle name="Entrada 13 2 3 2" xfId="5073"/>
    <cellStyle name="Entrada 13 2 4" xfId="5074"/>
    <cellStyle name="Entrada 13 2 4 2" xfId="5075"/>
    <cellStyle name="Entrada 13 3" xfId="5076"/>
    <cellStyle name="Entrada 13 3 2" xfId="5077"/>
    <cellStyle name="Entrada 13 3 2 2" xfId="5078"/>
    <cellStyle name="Entrada 13 3 3" xfId="5079"/>
    <cellStyle name="Entrada 13 3 3 2" xfId="5080"/>
    <cellStyle name="Entrada 13 3 4" xfId="5081"/>
    <cellStyle name="Entrada 13 3 4 2" xfId="5082"/>
    <cellStyle name="Entrada 13 4" xfId="5083"/>
    <cellStyle name="Entrada 13 4 2" xfId="5084"/>
    <cellStyle name="Entrada 13 5" xfId="5085"/>
    <cellStyle name="Entrada 13 5 2" xfId="5086"/>
    <cellStyle name="Entrada 13 6" xfId="5087"/>
    <cellStyle name="Entrada 13 6 2" xfId="5088"/>
    <cellStyle name="Entrada 14" xfId="5089"/>
    <cellStyle name="Entrada 14 2" xfId="5090"/>
    <cellStyle name="Entrada 14 2 2" xfId="5091"/>
    <cellStyle name="Entrada 14 2 2 2" xfId="5092"/>
    <cellStyle name="Entrada 14 2 3" xfId="5093"/>
    <cellStyle name="Entrada 14 2 3 2" xfId="5094"/>
    <cellStyle name="Entrada 14 2 4" xfId="5095"/>
    <cellStyle name="Entrada 14 2 4 2" xfId="5096"/>
    <cellStyle name="Entrada 14 3" xfId="5097"/>
    <cellStyle name="Entrada 14 3 2" xfId="5098"/>
    <cellStyle name="Entrada 14 3 2 2" xfId="5099"/>
    <cellStyle name="Entrada 14 3 3" xfId="5100"/>
    <cellStyle name="Entrada 14 3 3 2" xfId="5101"/>
    <cellStyle name="Entrada 14 3 4" xfId="5102"/>
    <cellStyle name="Entrada 14 3 4 2" xfId="5103"/>
    <cellStyle name="Entrada 14 4" xfId="5104"/>
    <cellStyle name="Entrada 14 4 2" xfId="5105"/>
    <cellStyle name="Entrada 14 5" xfId="5106"/>
    <cellStyle name="Entrada 14 5 2" xfId="5107"/>
    <cellStyle name="Entrada 14 6" xfId="5108"/>
    <cellStyle name="Entrada 14 6 2" xfId="5109"/>
    <cellStyle name="Entrada 15" xfId="5110"/>
    <cellStyle name="Entrada 15 2" xfId="5111"/>
    <cellStyle name="Entrada 15 2 2" xfId="5112"/>
    <cellStyle name="Entrada 15 2 2 2" xfId="5113"/>
    <cellStyle name="Entrada 15 2 3" xfId="5114"/>
    <cellStyle name="Entrada 15 2 3 2" xfId="5115"/>
    <cellStyle name="Entrada 15 2 4" xfId="5116"/>
    <cellStyle name="Entrada 15 2 4 2" xfId="5117"/>
    <cellStyle name="Entrada 15 3" xfId="5118"/>
    <cellStyle name="Entrada 15 3 2" xfId="5119"/>
    <cellStyle name="Entrada 15 3 2 2" xfId="5120"/>
    <cellStyle name="Entrada 15 3 3" xfId="5121"/>
    <cellStyle name="Entrada 15 3 3 2" xfId="5122"/>
    <cellStyle name="Entrada 15 3 4" xfId="5123"/>
    <cellStyle name="Entrada 15 3 4 2" xfId="5124"/>
    <cellStyle name="Entrada 15 4" xfId="5125"/>
    <cellStyle name="Entrada 15 4 2" xfId="5126"/>
    <cellStyle name="Entrada 15 5" xfId="5127"/>
    <cellStyle name="Entrada 15 5 2" xfId="5128"/>
    <cellStyle name="Entrada 15 6" xfId="5129"/>
    <cellStyle name="Entrada 15 6 2" xfId="5130"/>
    <cellStyle name="Entrada 16" xfId="5131"/>
    <cellStyle name="Entrada 16 2" xfId="5132"/>
    <cellStyle name="Entrada 16 2 2" xfId="5133"/>
    <cellStyle name="Entrada 16 2 2 2" xfId="5134"/>
    <cellStyle name="Entrada 16 2 3" xfId="5135"/>
    <cellStyle name="Entrada 16 2 3 2" xfId="5136"/>
    <cellStyle name="Entrada 16 2 4" xfId="5137"/>
    <cellStyle name="Entrada 16 2 4 2" xfId="5138"/>
    <cellStyle name="Entrada 16 3" xfId="5139"/>
    <cellStyle name="Entrada 16 3 2" xfId="5140"/>
    <cellStyle name="Entrada 16 3 2 2" xfId="5141"/>
    <cellStyle name="Entrada 16 3 3" xfId="5142"/>
    <cellStyle name="Entrada 16 3 3 2" xfId="5143"/>
    <cellStyle name="Entrada 16 3 4" xfId="5144"/>
    <cellStyle name="Entrada 16 3 4 2" xfId="5145"/>
    <cellStyle name="Entrada 16 4" xfId="5146"/>
    <cellStyle name="Entrada 16 4 2" xfId="5147"/>
    <cellStyle name="Entrada 16 5" xfId="5148"/>
    <cellStyle name="Entrada 16 5 2" xfId="5149"/>
    <cellStyle name="Entrada 16 6" xfId="5150"/>
    <cellStyle name="Entrada 16 6 2" xfId="5151"/>
    <cellStyle name="Entrada 17" xfId="5152"/>
    <cellStyle name="Entrada 2" xfId="639"/>
    <cellStyle name="Entrada 2 10" xfId="5153"/>
    <cellStyle name="Entrada 2 10 2" xfId="5154"/>
    <cellStyle name="Entrada 2 11" xfId="5155"/>
    <cellStyle name="Entrada 2 11 2" xfId="5156"/>
    <cellStyle name="Entrada 2 2" xfId="640"/>
    <cellStyle name="Entrada 2 2 10" xfId="5157"/>
    <cellStyle name="Entrada 2 2 10 2" xfId="5158"/>
    <cellStyle name="Entrada 2 2 2" xfId="2144"/>
    <cellStyle name="Entrada 2 2 2 2" xfId="2145"/>
    <cellStyle name="Entrada 2 2 2 2 2" xfId="5159"/>
    <cellStyle name="Entrada 2 2 2 2 2 2" xfId="5160"/>
    <cellStyle name="Entrada 2 2 2 2 2 2 2" xfId="5161"/>
    <cellStyle name="Entrada 2 2 2 2 2 3" xfId="5162"/>
    <cellStyle name="Entrada 2 2 2 2 2 3 2" xfId="5163"/>
    <cellStyle name="Entrada 2 2 2 2 2 4" xfId="5164"/>
    <cellStyle name="Entrada 2 2 2 2 2 4 2" xfId="5165"/>
    <cellStyle name="Entrada 2 2 2 2 3" xfId="5166"/>
    <cellStyle name="Entrada 2 2 2 2 3 2" xfId="5167"/>
    <cellStyle name="Entrada 2 2 2 2 3 2 2" xfId="5168"/>
    <cellStyle name="Entrada 2 2 2 2 3 3" xfId="5169"/>
    <cellStyle name="Entrada 2 2 2 2 3 3 2" xfId="5170"/>
    <cellStyle name="Entrada 2 2 2 2 3 4" xfId="5171"/>
    <cellStyle name="Entrada 2 2 2 2 3 4 2" xfId="5172"/>
    <cellStyle name="Entrada 2 2 2 2 4" xfId="5173"/>
    <cellStyle name="Entrada 2 2 2 2 4 2" xfId="5174"/>
    <cellStyle name="Entrada 2 2 2 2 5" xfId="5175"/>
    <cellStyle name="Entrada 2 2 2 2 5 2" xfId="5176"/>
    <cellStyle name="Entrada 2 2 2 2 6" xfId="5177"/>
    <cellStyle name="Entrada 2 2 2 2 6 2" xfId="5178"/>
    <cellStyle name="Entrada 2 2 2 3" xfId="5179"/>
    <cellStyle name="Entrada 2 2 2 3 2" xfId="5180"/>
    <cellStyle name="Entrada 2 2 2 3 2 2" xfId="5181"/>
    <cellStyle name="Entrada 2 2 2 3 3" xfId="5182"/>
    <cellStyle name="Entrada 2 2 2 3 3 2" xfId="5183"/>
    <cellStyle name="Entrada 2 2 2 3 4" xfId="5184"/>
    <cellStyle name="Entrada 2 2 2 3 4 2" xfId="5185"/>
    <cellStyle name="Entrada 2 2 2 4" xfId="5186"/>
    <cellStyle name="Entrada 2 2 2 4 2" xfId="5187"/>
    <cellStyle name="Entrada 2 2 2 4 2 2" xfId="5188"/>
    <cellStyle name="Entrada 2 2 2 4 3" xfId="5189"/>
    <cellStyle name="Entrada 2 2 2 4 3 2" xfId="5190"/>
    <cellStyle name="Entrada 2 2 2 4 4" xfId="5191"/>
    <cellStyle name="Entrada 2 2 2 4 4 2" xfId="5192"/>
    <cellStyle name="Entrada 2 2 2 5" xfId="5193"/>
    <cellStyle name="Entrada 2 2 2 5 2" xfId="5194"/>
    <cellStyle name="Entrada 2 2 2 6" xfId="5195"/>
    <cellStyle name="Entrada 2 2 2 6 2" xfId="5196"/>
    <cellStyle name="Entrada 2 2 2 7" xfId="5197"/>
    <cellStyle name="Entrada 2 2 2 7 2" xfId="5198"/>
    <cellStyle name="Entrada 2 2 3" xfId="2146"/>
    <cellStyle name="Entrada 2 2 3 2" xfId="2147"/>
    <cellStyle name="Entrada 2 2 3 2 2" xfId="5199"/>
    <cellStyle name="Entrada 2 2 3 2 2 2" xfId="5200"/>
    <cellStyle name="Entrada 2 2 3 2 2 2 2" xfId="5201"/>
    <cellStyle name="Entrada 2 2 3 2 2 3" xfId="5202"/>
    <cellStyle name="Entrada 2 2 3 2 2 3 2" xfId="5203"/>
    <cellStyle name="Entrada 2 2 3 2 2 4" xfId="5204"/>
    <cellStyle name="Entrada 2 2 3 2 2 4 2" xfId="5205"/>
    <cellStyle name="Entrada 2 2 3 2 3" xfId="5206"/>
    <cellStyle name="Entrada 2 2 3 2 3 2" xfId="5207"/>
    <cellStyle name="Entrada 2 2 3 2 3 2 2" xfId="5208"/>
    <cellStyle name="Entrada 2 2 3 2 3 3" xfId="5209"/>
    <cellStyle name="Entrada 2 2 3 2 3 3 2" xfId="5210"/>
    <cellStyle name="Entrada 2 2 3 2 3 4" xfId="5211"/>
    <cellStyle name="Entrada 2 2 3 2 3 4 2" xfId="5212"/>
    <cellStyle name="Entrada 2 2 3 2 4" xfId="5213"/>
    <cellStyle name="Entrada 2 2 3 2 4 2" xfId="5214"/>
    <cellStyle name="Entrada 2 2 3 2 5" xfId="5215"/>
    <cellStyle name="Entrada 2 2 3 2 5 2" xfId="5216"/>
    <cellStyle name="Entrada 2 2 3 2 6" xfId="5217"/>
    <cellStyle name="Entrada 2 2 3 2 6 2" xfId="5218"/>
    <cellStyle name="Entrada 2 2 3 3" xfId="5219"/>
    <cellStyle name="Entrada 2 2 3 3 2" xfId="5220"/>
    <cellStyle name="Entrada 2 2 3 3 2 2" xfId="5221"/>
    <cellStyle name="Entrada 2 2 3 3 3" xfId="5222"/>
    <cellStyle name="Entrada 2 2 3 3 3 2" xfId="5223"/>
    <cellStyle name="Entrada 2 2 3 3 4" xfId="5224"/>
    <cellStyle name="Entrada 2 2 3 3 4 2" xfId="5225"/>
    <cellStyle name="Entrada 2 2 3 4" xfId="5226"/>
    <cellStyle name="Entrada 2 2 3 4 2" xfId="5227"/>
    <cellStyle name="Entrada 2 2 3 4 2 2" xfId="5228"/>
    <cellStyle name="Entrada 2 2 3 4 3" xfId="5229"/>
    <cellStyle name="Entrada 2 2 3 4 3 2" xfId="5230"/>
    <cellStyle name="Entrada 2 2 3 4 4" xfId="5231"/>
    <cellStyle name="Entrada 2 2 3 4 4 2" xfId="5232"/>
    <cellStyle name="Entrada 2 2 3 5" xfId="5233"/>
    <cellStyle name="Entrada 2 2 3 5 2" xfId="5234"/>
    <cellStyle name="Entrada 2 2 3 6" xfId="5235"/>
    <cellStyle name="Entrada 2 2 3 6 2" xfId="5236"/>
    <cellStyle name="Entrada 2 2 3 7" xfId="5237"/>
    <cellStyle name="Entrada 2 2 3 7 2" xfId="5238"/>
    <cellStyle name="Entrada 2 2 4" xfId="2148"/>
    <cellStyle name="Entrada 2 2 4 2" xfId="2149"/>
    <cellStyle name="Entrada 2 2 4 2 2" xfId="5239"/>
    <cellStyle name="Entrada 2 2 4 2 2 2" xfId="5240"/>
    <cellStyle name="Entrada 2 2 4 2 2 2 2" xfId="5241"/>
    <cellStyle name="Entrada 2 2 4 2 2 3" xfId="5242"/>
    <cellStyle name="Entrada 2 2 4 2 2 3 2" xfId="5243"/>
    <cellStyle name="Entrada 2 2 4 2 2 4" xfId="5244"/>
    <cellStyle name="Entrada 2 2 4 2 2 4 2" xfId="5245"/>
    <cellStyle name="Entrada 2 2 4 2 3" xfId="5246"/>
    <cellStyle name="Entrada 2 2 4 2 3 2" xfId="5247"/>
    <cellStyle name="Entrada 2 2 4 2 3 2 2" xfId="5248"/>
    <cellStyle name="Entrada 2 2 4 2 3 3" xfId="5249"/>
    <cellStyle name="Entrada 2 2 4 2 3 3 2" xfId="5250"/>
    <cellStyle name="Entrada 2 2 4 2 3 4" xfId="5251"/>
    <cellStyle name="Entrada 2 2 4 2 3 4 2" xfId="5252"/>
    <cellStyle name="Entrada 2 2 4 2 4" xfId="5253"/>
    <cellStyle name="Entrada 2 2 4 2 4 2" xfId="5254"/>
    <cellStyle name="Entrada 2 2 4 2 5" xfId="5255"/>
    <cellStyle name="Entrada 2 2 4 2 5 2" xfId="5256"/>
    <cellStyle name="Entrada 2 2 4 2 6" xfId="5257"/>
    <cellStyle name="Entrada 2 2 4 2 6 2" xfId="5258"/>
    <cellStyle name="Entrada 2 2 4 3" xfId="5259"/>
    <cellStyle name="Entrada 2 2 4 3 2" xfId="5260"/>
    <cellStyle name="Entrada 2 2 4 3 2 2" xfId="5261"/>
    <cellStyle name="Entrada 2 2 4 3 3" xfId="5262"/>
    <cellStyle name="Entrada 2 2 4 3 3 2" xfId="5263"/>
    <cellStyle name="Entrada 2 2 4 3 4" xfId="5264"/>
    <cellStyle name="Entrada 2 2 4 3 4 2" xfId="5265"/>
    <cellStyle name="Entrada 2 2 4 4" xfId="5266"/>
    <cellStyle name="Entrada 2 2 4 4 2" xfId="5267"/>
    <cellStyle name="Entrada 2 2 4 4 2 2" xfId="5268"/>
    <cellStyle name="Entrada 2 2 4 4 3" xfId="5269"/>
    <cellStyle name="Entrada 2 2 4 4 3 2" xfId="5270"/>
    <cellStyle name="Entrada 2 2 4 4 4" xfId="5271"/>
    <cellStyle name="Entrada 2 2 4 4 4 2" xfId="5272"/>
    <cellStyle name="Entrada 2 2 4 5" xfId="5273"/>
    <cellStyle name="Entrada 2 2 4 5 2" xfId="5274"/>
    <cellStyle name="Entrada 2 2 4 6" xfId="5275"/>
    <cellStyle name="Entrada 2 2 4 6 2" xfId="5276"/>
    <cellStyle name="Entrada 2 2 4 7" xfId="5277"/>
    <cellStyle name="Entrada 2 2 4 7 2" xfId="5278"/>
    <cellStyle name="Entrada 2 2 5" xfId="2150"/>
    <cellStyle name="Entrada 2 2 5 2" xfId="5279"/>
    <cellStyle name="Entrada 2 2 5 2 2" xfId="5280"/>
    <cellStyle name="Entrada 2 2 5 2 2 2" xfId="5281"/>
    <cellStyle name="Entrada 2 2 5 2 3" xfId="5282"/>
    <cellStyle name="Entrada 2 2 5 2 3 2" xfId="5283"/>
    <cellStyle name="Entrada 2 2 5 2 4" xfId="5284"/>
    <cellStyle name="Entrada 2 2 5 2 4 2" xfId="5285"/>
    <cellStyle name="Entrada 2 2 5 3" xfId="5286"/>
    <cellStyle name="Entrada 2 2 5 3 2" xfId="5287"/>
    <cellStyle name="Entrada 2 2 5 3 2 2" xfId="5288"/>
    <cellStyle name="Entrada 2 2 5 3 3" xfId="5289"/>
    <cellStyle name="Entrada 2 2 5 3 3 2" xfId="5290"/>
    <cellStyle name="Entrada 2 2 5 3 4" xfId="5291"/>
    <cellStyle name="Entrada 2 2 5 3 4 2" xfId="5292"/>
    <cellStyle name="Entrada 2 2 5 4" xfId="5293"/>
    <cellStyle name="Entrada 2 2 5 4 2" xfId="5294"/>
    <cellStyle name="Entrada 2 2 5 5" xfId="5295"/>
    <cellStyle name="Entrada 2 2 5 5 2" xfId="5296"/>
    <cellStyle name="Entrada 2 2 5 6" xfId="5297"/>
    <cellStyle name="Entrada 2 2 5 6 2" xfId="5298"/>
    <cellStyle name="Entrada 2 2 6" xfId="5299"/>
    <cellStyle name="Entrada 2 2 6 2" xfId="5300"/>
    <cellStyle name="Entrada 2 2 6 2 2" xfId="5301"/>
    <cellStyle name="Entrada 2 2 6 3" xfId="5302"/>
    <cellStyle name="Entrada 2 2 6 3 2" xfId="5303"/>
    <cellStyle name="Entrada 2 2 6 4" xfId="5304"/>
    <cellStyle name="Entrada 2 2 6 4 2" xfId="5305"/>
    <cellStyle name="Entrada 2 2 7" xfId="5306"/>
    <cellStyle name="Entrada 2 2 7 2" xfId="5307"/>
    <cellStyle name="Entrada 2 2 7 2 2" xfId="5308"/>
    <cellStyle name="Entrada 2 2 7 3" xfId="5309"/>
    <cellStyle name="Entrada 2 2 7 3 2" xfId="5310"/>
    <cellStyle name="Entrada 2 2 7 4" xfId="5311"/>
    <cellStyle name="Entrada 2 2 7 4 2" xfId="5312"/>
    <cellStyle name="Entrada 2 2 8" xfId="5313"/>
    <cellStyle name="Entrada 2 2 8 2" xfId="5314"/>
    <cellStyle name="Entrada 2 2 9" xfId="5315"/>
    <cellStyle name="Entrada 2 2 9 2" xfId="5316"/>
    <cellStyle name="Entrada 2 3" xfId="641"/>
    <cellStyle name="Entrada 2 3 2" xfId="2151"/>
    <cellStyle name="Entrada 2 3 2 2" xfId="5317"/>
    <cellStyle name="Entrada 2 3 2 2 2" xfId="5318"/>
    <cellStyle name="Entrada 2 3 2 2 2 2" xfId="5319"/>
    <cellStyle name="Entrada 2 3 2 2 3" xfId="5320"/>
    <cellStyle name="Entrada 2 3 2 2 3 2" xfId="5321"/>
    <cellStyle name="Entrada 2 3 2 2 4" xfId="5322"/>
    <cellStyle name="Entrada 2 3 2 2 4 2" xfId="5323"/>
    <cellStyle name="Entrada 2 3 2 3" xfId="5324"/>
    <cellStyle name="Entrada 2 3 2 3 2" xfId="5325"/>
    <cellStyle name="Entrada 2 3 2 3 2 2" xfId="5326"/>
    <cellStyle name="Entrada 2 3 2 3 3" xfId="5327"/>
    <cellStyle name="Entrada 2 3 2 3 3 2" xfId="5328"/>
    <cellStyle name="Entrada 2 3 2 3 4" xfId="5329"/>
    <cellStyle name="Entrada 2 3 2 3 4 2" xfId="5330"/>
    <cellStyle name="Entrada 2 3 2 4" xfId="5331"/>
    <cellStyle name="Entrada 2 3 2 4 2" xfId="5332"/>
    <cellStyle name="Entrada 2 3 2 5" xfId="5333"/>
    <cellStyle name="Entrada 2 3 2 5 2" xfId="5334"/>
    <cellStyle name="Entrada 2 3 2 6" xfId="5335"/>
    <cellStyle name="Entrada 2 3 2 6 2" xfId="5336"/>
    <cellStyle name="Entrada 2 3 3" xfId="5337"/>
    <cellStyle name="Entrada 2 3 3 2" xfId="5338"/>
    <cellStyle name="Entrada 2 3 3 2 2" xfId="5339"/>
    <cellStyle name="Entrada 2 3 3 3" xfId="5340"/>
    <cellStyle name="Entrada 2 3 3 3 2" xfId="5341"/>
    <cellStyle name="Entrada 2 3 3 4" xfId="5342"/>
    <cellStyle name="Entrada 2 3 3 4 2" xfId="5343"/>
    <cellStyle name="Entrada 2 3 4" xfId="5344"/>
    <cellStyle name="Entrada 2 3 4 2" xfId="5345"/>
    <cellStyle name="Entrada 2 3 4 2 2" xfId="5346"/>
    <cellStyle name="Entrada 2 3 4 3" xfId="5347"/>
    <cellStyle name="Entrada 2 3 4 3 2" xfId="5348"/>
    <cellStyle name="Entrada 2 3 4 4" xfId="5349"/>
    <cellStyle name="Entrada 2 3 4 4 2" xfId="5350"/>
    <cellStyle name="Entrada 2 3 5" xfId="5351"/>
    <cellStyle name="Entrada 2 3 5 2" xfId="5352"/>
    <cellStyle name="Entrada 2 3 6" xfId="5353"/>
    <cellStyle name="Entrada 2 3 6 2" xfId="5354"/>
    <cellStyle name="Entrada 2 3 7" xfId="5355"/>
    <cellStyle name="Entrada 2 3 7 2" xfId="5356"/>
    <cellStyle name="Entrada 2 4" xfId="642"/>
    <cellStyle name="Entrada 2 4 2" xfId="2152"/>
    <cellStyle name="Entrada 2 4 2 2" xfId="5357"/>
    <cellStyle name="Entrada 2 4 2 2 2" xfId="5358"/>
    <cellStyle name="Entrada 2 4 2 2 2 2" xfId="5359"/>
    <cellStyle name="Entrada 2 4 2 2 3" xfId="5360"/>
    <cellStyle name="Entrada 2 4 2 2 3 2" xfId="5361"/>
    <cellStyle name="Entrada 2 4 2 2 4" xfId="5362"/>
    <cellStyle name="Entrada 2 4 2 2 4 2" xfId="5363"/>
    <cellStyle name="Entrada 2 4 2 3" xfId="5364"/>
    <cellStyle name="Entrada 2 4 2 3 2" xfId="5365"/>
    <cellStyle name="Entrada 2 4 2 3 2 2" xfId="5366"/>
    <cellStyle name="Entrada 2 4 2 3 3" xfId="5367"/>
    <cellStyle name="Entrada 2 4 2 3 3 2" xfId="5368"/>
    <cellStyle name="Entrada 2 4 2 3 4" xfId="5369"/>
    <cellStyle name="Entrada 2 4 2 3 4 2" xfId="5370"/>
    <cellStyle name="Entrada 2 4 2 4" xfId="5371"/>
    <cellStyle name="Entrada 2 4 2 4 2" xfId="5372"/>
    <cellStyle name="Entrada 2 4 2 5" xfId="5373"/>
    <cellStyle name="Entrada 2 4 2 5 2" xfId="5374"/>
    <cellStyle name="Entrada 2 4 2 6" xfId="5375"/>
    <cellStyle name="Entrada 2 4 2 6 2" xfId="5376"/>
    <cellStyle name="Entrada 2 4 3" xfId="5377"/>
    <cellStyle name="Entrada 2 4 3 2" xfId="5378"/>
    <cellStyle name="Entrada 2 4 3 2 2" xfId="5379"/>
    <cellStyle name="Entrada 2 4 3 3" xfId="5380"/>
    <cellStyle name="Entrada 2 4 3 3 2" xfId="5381"/>
    <cellStyle name="Entrada 2 4 3 4" xfId="5382"/>
    <cellStyle name="Entrada 2 4 3 4 2" xfId="5383"/>
    <cellStyle name="Entrada 2 4 4" xfId="5384"/>
    <cellStyle name="Entrada 2 4 4 2" xfId="5385"/>
    <cellStyle name="Entrada 2 4 4 2 2" xfId="5386"/>
    <cellStyle name="Entrada 2 4 4 3" xfId="5387"/>
    <cellStyle name="Entrada 2 4 4 3 2" xfId="5388"/>
    <cellStyle name="Entrada 2 4 4 4" xfId="5389"/>
    <cellStyle name="Entrada 2 4 4 4 2" xfId="5390"/>
    <cellStyle name="Entrada 2 4 5" xfId="5391"/>
    <cellStyle name="Entrada 2 4 5 2" xfId="5392"/>
    <cellStyle name="Entrada 2 4 6" xfId="5393"/>
    <cellStyle name="Entrada 2 4 6 2" xfId="5394"/>
    <cellStyle name="Entrada 2 4 7" xfId="5395"/>
    <cellStyle name="Entrada 2 4 7 2" xfId="5396"/>
    <cellStyle name="Entrada 2 5" xfId="643"/>
    <cellStyle name="Entrada 2 5 2" xfId="2153"/>
    <cellStyle name="Entrada 2 5 2 2" xfId="5397"/>
    <cellStyle name="Entrada 2 5 2 2 2" xfId="5398"/>
    <cellStyle name="Entrada 2 5 2 2 2 2" xfId="5399"/>
    <cellStyle name="Entrada 2 5 2 2 3" xfId="5400"/>
    <cellStyle name="Entrada 2 5 2 2 3 2" xfId="5401"/>
    <cellStyle name="Entrada 2 5 2 2 4" xfId="5402"/>
    <cellStyle name="Entrada 2 5 2 2 4 2" xfId="5403"/>
    <cellStyle name="Entrada 2 5 2 3" xfId="5404"/>
    <cellStyle name="Entrada 2 5 2 3 2" xfId="5405"/>
    <cellStyle name="Entrada 2 5 2 3 2 2" xfId="5406"/>
    <cellStyle name="Entrada 2 5 2 3 3" xfId="5407"/>
    <cellStyle name="Entrada 2 5 2 3 3 2" xfId="5408"/>
    <cellStyle name="Entrada 2 5 2 3 4" xfId="5409"/>
    <cellStyle name="Entrada 2 5 2 3 4 2" xfId="5410"/>
    <cellStyle name="Entrada 2 5 2 4" xfId="5411"/>
    <cellStyle name="Entrada 2 5 2 4 2" xfId="5412"/>
    <cellStyle name="Entrada 2 5 2 5" xfId="5413"/>
    <cellStyle name="Entrada 2 5 2 5 2" xfId="5414"/>
    <cellStyle name="Entrada 2 5 2 6" xfId="5415"/>
    <cellStyle name="Entrada 2 5 2 6 2" xfId="5416"/>
    <cellStyle name="Entrada 2 5 3" xfId="5417"/>
    <cellStyle name="Entrada 2 5 3 2" xfId="5418"/>
    <cellStyle name="Entrada 2 5 3 2 2" xfId="5419"/>
    <cellStyle name="Entrada 2 5 3 3" xfId="5420"/>
    <cellStyle name="Entrada 2 5 3 3 2" xfId="5421"/>
    <cellStyle name="Entrada 2 5 3 4" xfId="5422"/>
    <cellStyle name="Entrada 2 5 3 4 2" xfId="5423"/>
    <cellStyle name="Entrada 2 5 4" xfId="5424"/>
    <cellStyle name="Entrada 2 5 4 2" xfId="5425"/>
    <cellStyle name="Entrada 2 5 4 2 2" xfId="5426"/>
    <cellStyle name="Entrada 2 5 4 3" xfId="5427"/>
    <cellStyle name="Entrada 2 5 4 3 2" xfId="5428"/>
    <cellStyle name="Entrada 2 5 4 4" xfId="5429"/>
    <cellStyle name="Entrada 2 5 4 4 2" xfId="5430"/>
    <cellStyle name="Entrada 2 5 5" xfId="5431"/>
    <cellStyle name="Entrada 2 5 5 2" xfId="5432"/>
    <cellStyle name="Entrada 2 5 6" xfId="5433"/>
    <cellStyle name="Entrada 2 5 6 2" xfId="5434"/>
    <cellStyle name="Entrada 2 5 7" xfId="5435"/>
    <cellStyle name="Entrada 2 5 7 2" xfId="5436"/>
    <cellStyle name="Entrada 2 6" xfId="644"/>
    <cellStyle name="Entrada 2 6 2" xfId="5437"/>
    <cellStyle name="Entrada 2 6 2 2" xfId="5438"/>
    <cellStyle name="Entrada 2 6 2 2 2" xfId="5439"/>
    <cellStyle name="Entrada 2 6 2 3" xfId="5440"/>
    <cellStyle name="Entrada 2 6 2 3 2" xfId="5441"/>
    <cellStyle name="Entrada 2 6 2 4" xfId="5442"/>
    <cellStyle name="Entrada 2 6 2 4 2" xfId="5443"/>
    <cellStyle name="Entrada 2 6 3" xfId="5444"/>
    <cellStyle name="Entrada 2 6 3 2" xfId="5445"/>
    <cellStyle name="Entrada 2 6 3 2 2" xfId="5446"/>
    <cellStyle name="Entrada 2 6 3 3" xfId="5447"/>
    <cellStyle name="Entrada 2 6 3 3 2" xfId="5448"/>
    <cellStyle name="Entrada 2 6 3 4" xfId="5449"/>
    <cellStyle name="Entrada 2 6 3 4 2" xfId="5450"/>
    <cellStyle name="Entrada 2 6 4" xfId="5451"/>
    <cellStyle name="Entrada 2 6 4 2" xfId="5452"/>
    <cellStyle name="Entrada 2 6 5" xfId="5453"/>
    <cellStyle name="Entrada 2 6 5 2" xfId="5454"/>
    <cellStyle name="Entrada 2 6 6" xfId="5455"/>
    <cellStyle name="Entrada 2 6 6 2" xfId="5456"/>
    <cellStyle name="Entrada 2 7" xfId="5457"/>
    <cellStyle name="Entrada 2 7 2" xfId="5458"/>
    <cellStyle name="Entrada 2 7 2 2" xfId="5459"/>
    <cellStyle name="Entrada 2 7 3" xfId="5460"/>
    <cellStyle name="Entrada 2 7 3 2" xfId="5461"/>
    <cellStyle name="Entrada 2 7 4" xfId="5462"/>
    <cellStyle name="Entrada 2 7 4 2" xfId="5463"/>
    <cellStyle name="Entrada 2 8" xfId="5464"/>
    <cellStyle name="Entrada 2 8 2" xfId="5465"/>
    <cellStyle name="Entrada 2 8 2 2" xfId="5466"/>
    <cellStyle name="Entrada 2 8 3" xfId="5467"/>
    <cellStyle name="Entrada 2 8 3 2" xfId="5468"/>
    <cellStyle name="Entrada 2 8 4" xfId="5469"/>
    <cellStyle name="Entrada 2 8 4 2" xfId="5470"/>
    <cellStyle name="Entrada 2 9" xfId="5471"/>
    <cellStyle name="Entrada 2 9 2" xfId="5472"/>
    <cellStyle name="Entrada 2_PIP" xfId="645"/>
    <cellStyle name="Entrada 3" xfId="646"/>
    <cellStyle name="Entrada 3 10" xfId="5473"/>
    <cellStyle name="Entrada 3 10 2" xfId="5474"/>
    <cellStyle name="Entrada 3 11" xfId="5475"/>
    <cellStyle name="Entrada 3 11 2" xfId="5476"/>
    <cellStyle name="Entrada 3 2" xfId="2154"/>
    <cellStyle name="Entrada 3 2 10" xfId="5477"/>
    <cellStyle name="Entrada 3 2 10 2" xfId="5478"/>
    <cellStyle name="Entrada 3 2 2" xfId="2155"/>
    <cellStyle name="Entrada 3 2 2 2" xfId="2156"/>
    <cellStyle name="Entrada 3 2 2 2 2" xfId="5479"/>
    <cellStyle name="Entrada 3 2 2 2 2 2" xfId="5480"/>
    <cellStyle name="Entrada 3 2 2 2 2 2 2" xfId="5481"/>
    <cellStyle name="Entrada 3 2 2 2 2 3" xfId="5482"/>
    <cellStyle name="Entrada 3 2 2 2 2 3 2" xfId="5483"/>
    <cellStyle name="Entrada 3 2 2 2 2 4" xfId="5484"/>
    <cellStyle name="Entrada 3 2 2 2 2 4 2" xfId="5485"/>
    <cellStyle name="Entrada 3 2 2 2 3" xfId="5486"/>
    <cellStyle name="Entrada 3 2 2 2 3 2" xfId="5487"/>
    <cellStyle name="Entrada 3 2 2 2 3 2 2" xfId="5488"/>
    <cellStyle name="Entrada 3 2 2 2 3 3" xfId="5489"/>
    <cellStyle name="Entrada 3 2 2 2 3 3 2" xfId="5490"/>
    <cellStyle name="Entrada 3 2 2 2 3 4" xfId="5491"/>
    <cellStyle name="Entrada 3 2 2 2 3 4 2" xfId="5492"/>
    <cellStyle name="Entrada 3 2 2 2 4" xfId="5493"/>
    <cellStyle name="Entrada 3 2 2 2 4 2" xfId="5494"/>
    <cellStyle name="Entrada 3 2 2 2 5" xfId="5495"/>
    <cellStyle name="Entrada 3 2 2 2 5 2" xfId="5496"/>
    <cellStyle name="Entrada 3 2 2 2 6" xfId="5497"/>
    <cellStyle name="Entrada 3 2 2 2 6 2" xfId="5498"/>
    <cellStyle name="Entrada 3 2 2 3" xfId="5499"/>
    <cellStyle name="Entrada 3 2 2 3 2" xfId="5500"/>
    <cellStyle name="Entrada 3 2 2 3 2 2" xfId="5501"/>
    <cellStyle name="Entrada 3 2 2 3 3" xfId="5502"/>
    <cellStyle name="Entrada 3 2 2 3 3 2" xfId="5503"/>
    <cellStyle name="Entrada 3 2 2 3 4" xfId="5504"/>
    <cellStyle name="Entrada 3 2 2 3 4 2" xfId="5505"/>
    <cellStyle name="Entrada 3 2 2 4" xfId="5506"/>
    <cellStyle name="Entrada 3 2 2 4 2" xfId="5507"/>
    <cellStyle name="Entrada 3 2 2 4 2 2" xfId="5508"/>
    <cellStyle name="Entrada 3 2 2 4 3" xfId="5509"/>
    <cellStyle name="Entrada 3 2 2 4 3 2" xfId="5510"/>
    <cellStyle name="Entrada 3 2 2 4 4" xfId="5511"/>
    <cellStyle name="Entrada 3 2 2 4 4 2" xfId="5512"/>
    <cellStyle name="Entrada 3 2 2 5" xfId="5513"/>
    <cellStyle name="Entrada 3 2 2 5 2" xfId="5514"/>
    <cellStyle name="Entrada 3 2 2 6" xfId="5515"/>
    <cellStyle name="Entrada 3 2 2 6 2" xfId="5516"/>
    <cellStyle name="Entrada 3 2 2 7" xfId="5517"/>
    <cellStyle name="Entrada 3 2 2 7 2" xfId="5518"/>
    <cellStyle name="Entrada 3 2 3" xfId="2157"/>
    <cellStyle name="Entrada 3 2 3 2" xfId="2158"/>
    <cellStyle name="Entrada 3 2 3 2 2" xfId="5519"/>
    <cellStyle name="Entrada 3 2 3 2 2 2" xfId="5520"/>
    <cellStyle name="Entrada 3 2 3 2 2 2 2" xfId="5521"/>
    <cellStyle name="Entrada 3 2 3 2 2 3" xfId="5522"/>
    <cellStyle name="Entrada 3 2 3 2 2 3 2" xfId="5523"/>
    <cellStyle name="Entrada 3 2 3 2 2 4" xfId="5524"/>
    <cellStyle name="Entrada 3 2 3 2 2 4 2" xfId="5525"/>
    <cellStyle name="Entrada 3 2 3 2 3" xfId="5526"/>
    <cellStyle name="Entrada 3 2 3 2 3 2" xfId="5527"/>
    <cellStyle name="Entrada 3 2 3 2 3 2 2" xfId="5528"/>
    <cellStyle name="Entrada 3 2 3 2 3 3" xfId="5529"/>
    <cellStyle name="Entrada 3 2 3 2 3 3 2" xfId="5530"/>
    <cellStyle name="Entrada 3 2 3 2 3 4" xfId="5531"/>
    <cellStyle name="Entrada 3 2 3 2 3 4 2" xfId="5532"/>
    <cellStyle name="Entrada 3 2 3 2 4" xfId="5533"/>
    <cellStyle name="Entrada 3 2 3 2 4 2" xfId="5534"/>
    <cellStyle name="Entrada 3 2 3 2 5" xfId="5535"/>
    <cellStyle name="Entrada 3 2 3 2 5 2" xfId="5536"/>
    <cellStyle name="Entrada 3 2 3 2 6" xfId="5537"/>
    <cellStyle name="Entrada 3 2 3 2 6 2" xfId="5538"/>
    <cellStyle name="Entrada 3 2 3 3" xfId="5539"/>
    <cellStyle name="Entrada 3 2 3 3 2" xfId="5540"/>
    <cellStyle name="Entrada 3 2 3 3 2 2" xfId="5541"/>
    <cellStyle name="Entrada 3 2 3 3 3" xfId="5542"/>
    <cellStyle name="Entrada 3 2 3 3 3 2" xfId="5543"/>
    <cellStyle name="Entrada 3 2 3 3 4" xfId="5544"/>
    <cellStyle name="Entrada 3 2 3 3 4 2" xfId="5545"/>
    <cellStyle name="Entrada 3 2 3 4" xfId="5546"/>
    <cellStyle name="Entrada 3 2 3 4 2" xfId="5547"/>
    <cellStyle name="Entrada 3 2 3 4 2 2" xfId="5548"/>
    <cellStyle name="Entrada 3 2 3 4 3" xfId="5549"/>
    <cellStyle name="Entrada 3 2 3 4 3 2" xfId="5550"/>
    <cellStyle name="Entrada 3 2 3 4 4" xfId="5551"/>
    <cellStyle name="Entrada 3 2 3 4 4 2" xfId="5552"/>
    <cellStyle name="Entrada 3 2 3 5" xfId="5553"/>
    <cellStyle name="Entrada 3 2 3 5 2" xfId="5554"/>
    <cellStyle name="Entrada 3 2 3 6" xfId="5555"/>
    <cellStyle name="Entrada 3 2 3 6 2" xfId="5556"/>
    <cellStyle name="Entrada 3 2 3 7" xfId="5557"/>
    <cellStyle name="Entrada 3 2 3 7 2" xfId="5558"/>
    <cellStyle name="Entrada 3 2 4" xfId="2159"/>
    <cellStyle name="Entrada 3 2 4 2" xfId="2160"/>
    <cellStyle name="Entrada 3 2 4 2 2" xfId="5559"/>
    <cellStyle name="Entrada 3 2 4 2 2 2" xfId="5560"/>
    <cellStyle name="Entrada 3 2 4 2 2 2 2" xfId="5561"/>
    <cellStyle name="Entrada 3 2 4 2 2 3" xfId="5562"/>
    <cellStyle name="Entrada 3 2 4 2 2 3 2" xfId="5563"/>
    <cellStyle name="Entrada 3 2 4 2 2 4" xfId="5564"/>
    <cellStyle name="Entrada 3 2 4 2 2 4 2" xfId="5565"/>
    <cellStyle name="Entrada 3 2 4 2 3" xfId="5566"/>
    <cellStyle name="Entrada 3 2 4 2 3 2" xfId="5567"/>
    <cellStyle name="Entrada 3 2 4 2 3 2 2" xfId="5568"/>
    <cellStyle name="Entrada 3 2 4 2 3 3" xfId="5569"/>
    <cellStyle name="Entrada 3 2 4 2 3 3 2" xfId="5570"/>
    <cellStyle name="Entrada 3 2 4 2 3 4" xfId="5571"/>
    <cellStyle name="Entrada 3 2 4 2 3 4 2" xfId="5572"/>
    <cellStyle name="Entrada 3 2 4 2 4" xfId="5573"/>
    <cellStyle name="Entrada 3 2 4 2 4 2" xfId="5574"/>
    <cellStyle name="Entrada 3 2 4 2 5" xfId="5575"/>
    <cellStyle name="Entrada 3 2 4 2 5 2" xfId="5576"/>
    <cellStyle name="Entrada 3 2 4 2 6" xfId="5577"/>
    <cellStyle name="Entrada 3 2 4 2 6 2" xfId="5578"/>
    <cellStyle name="Entrada 3 2 4 3" xfId="5579"/>
    <cellStyle name="Entrada 3 2 4 3 2" xfId="5580"/>
    <cellStyle name="Entrada 3 2 4 3 2 2" xfId="5581"/>
    <cellStyle name="Entrada 3 2 4 3 3" xfId="5582"/>
    <cellStyle name="Entrada 3 2 4 3 3 2" xfId="5583"/>
    <cellStyle name="Entrada 3 2 4 3 4" xfId="5584"/>
    <cellStyle name="Entrada 3 2 4 3 4 2" xfId="5585"/>
    <cellStyle name="Entrada 3 2 4 4" xfId="5586"/>
    <cellStyle name="Entrada 3 2 4 4 2" xfId="5587"/>
    <cellStyle name="Entrada 3 2 4 4 2 2" xfId="5588"/>
    <cellStyle name="Entrada 3 2 4 4 3" xfId="5589"/>
    <cellStyle name="Entrada 3 2 4 4 3 2" xfId="5590"/>
    <cellStyle name="Entrada 3 2 4 4 4" xfId="5591"/>
    <cellStyle name="Entrada 3 2 4 4 4 2" xfId="5592"/>
    <cellStyle name="Entrada 3 2 4 5" xfId="5593"/>
    <cellStyle name="Entrada 3 2 4 5 2" xfId="5594"/>
    <cellStyle name="Entrada 3 2 4 6" xfId="5595"/>
    <cellStyle name="Entrada 3 2 4 6 2" xfId="5596"/>
    <cellStyle name="Entrada 3 2 4 7" xfId="5597"/>
    <cellStyle name="Entrada 3 2 4 7 2" xfId="5598"/>
    <cellStyle name="Entrada 3 2 5" xfId="2161"/>
    <cellStyle name="Entrada 3 2 5 2" xfId="5599"/>
    <cellStyle name="Entrada 3 2 5 2 2" xfId="5600"/>
    <cellStyle name="Entrada 3 2 5 2 2 2" xfId="5601"/>
    <cellStyle name="Entrada 3 2 5 2 3" xfId="5602"/>
    <cellStyle name="Entrada 3 2 5 2 3 2" xfId="5603"/>
    <cellStyle name="Entrada 3 2 5 2 4" xfId="5604"/>
    <cellStyle name="Entrada 3 2 5 2 4 2" xfId="5605"/>
    <cellStyle name="Entrada 3 2 5 3" xfId="5606"/>
    <cellStyle name="Entrada 3 2 5 3 2" xfId="5607"/>
    <cellStyle name="Entrada 3 2 5 3 2 2" xfId="5608"/>
    <cellStyle name="Entrada 3 2 5 3 3" xfId="5609"/>
    <cellStyle name="Entrada 3 2 5 3 3 2" xfId="5610"/>
    <cellStyle name="Entrada 3 2 5 3 4" xfId="5611"/>
    <cellStyle name="Entrada 3 2 5 3 4 2" xfId="5612"/>
    <cellStyle name="Entrada 3 2 5 4" xfId="5613"/>
    <cellStyle name="Entrada 3 2 5 4 2" xfId="5614"/>
    <cellStyle name="Entrada 3 2 5 5" xfId="5615"/>
    <cellStyle name="Entrada 3 2 5 5 2" xfId="5616"/>
    <cellStyle name="Entrada 3 2 5 6" xfId="5617"/>
    <cellStyle name="Entrada 3 2 5 6 2" xfId="5618"/>
    <cellStyle name="Entrada 3 2 6" xfId="5619"/>
    <cellStyle name="Entrada 3 2 6 2" xfId="5620"/>
    <cellStyle name="Entrada 3 2 6 2 2" xfId="5621"/>
    <cellStyle name="Entrada 3 2 6 3" xfId="5622"/>
    <cellStyle name="Entrada 3 2 6 3 2" xfId="5623"/>
    <cellStyle name="Entrada 3 2 6 4" xfId="5624"/>
    <cellStyle name="Entrada 3 2 6 4 2" xfId="5625"/>
    <cellStyle name="Entrada 3 2 7" xfId="5626"/>
    <cellStyle name="Entrada 3 2 7 2" xfId="5627"/>
    <cellStyle name="Entrada 3 2 7 2 2" xfId="5628"/>
    <cellStyle name="Entrada 3 2 7 3" xfId="5629"/>
    <cellStyle name="Entrada 3 2 7 3 2" xfId="5630"/>
    <cellStyle name="Entrada 3 2 7 4" xfId="5631"/>
    <cellStyle name="Entrada 3 2 7 4 2" xfId="5632"/>
    <cellStyle name="Entrada 3 2 8" xfId="5633"/>
    <cellStyle name="Entrada 3 2 8 2" xfId="5634"/>
    <cellStyle name="Entrada 3 2 9" xfId="5635"/>
    <cellStyle name="Entrada 3 2 9 2" xfId="5636"/>
    <cellStyle name="Entrada 3 3" xfId="2162"/>
    <cellStyle name="Entrada 3 3 2" xfId="2163"/>
    <cellStyle name="Entrada 3 3 2 2" xfId="5637"/>
    <cellStyle name="Entrada 3 3 2 2 2" xfId="5638"/>
    <cellStyle name="Entrada 3 3 2 2 2 2" xfId="5639"/>
    <cellStyle name="Entrada 3 3 2 2 3" xfId="5640"/>
    <cellStyle name="Entrada 3 3 2 2 3 2" xfId="5641"/>
    <cellStyle name="Entrada 3 3 2 2 4" xfId="5642"/>
    <cellStyle name="Entrada 3 3 2 2 4 2" xfId="5643"/>
    <cellStyle name="Entrada 3 3 2 3" xfId="5644"/>
    <cellStyle name="Entrada 3 3 2 3 2" xfId="5645"/>
    <cellStyle name="Entrada 3 3 2 3 2 2" xfId="5646"/>
    <cellStyle name="Entrada 3 3 2 3 3" xfId="5647"/>
    <cellStyle name="Entrada 3 3 2 3 3 2" xfId="5648"/>
    <cellStyle name="Entrada 3 3 2 3 4" xfId="5649"/>
    <cellStyle name="Entrada 3 3 2 3 4 2" xfId="5650"/>
    <cellStyle name="Entrada 3 3 2 4" xfId="5651"/>
    <cellStyle name="Entrada 3 3 2 4 2" xfId="5652"/>
    <cellStyle name="Entrada 3 3 2 5" xfId="5653"/>
    <cellStyle name="Entrada 3 3 2 5 2" xfId="5654"/>
    <cellStyle name="Entrada 3 3 2 6" xfId="5655"/>
    <cellStyle name="Entrada 3 3 2 6 2" xfId="5656"/>
    <cellStyle name="Entrada 3 3 3" xfId="5657"/>
    <cellStyle name="Entrada 3 3 3 2" xfId="5658"/>
    <cellStyle name="Entrada 3 3 3 2 2" xfId="5659"/>
    <cellStyle name="Entrada 3 3 3 3" xfId="5660"/>
    <cellStyle name="Entrada 3 3 3 3 2" xfId="5661"/>
    <cellStyle name="Entrada 3 3 3 4" xfId="5662"/>
    <cellStyle name="Entrada 3 3 3 4 2" xfId="5663"/>
    <cellStyle name="Entrada 3 3 4" xfId="5664"/>
    <cellStyle name="Entrada 3 3 4 2" xfId="5665"/>
    <cellStyle name="Entrada 3 3 4 2 2" xfId="5666"/>
    <cellStyle name="Entrada 3 3 4 3" xfId="5667"/>
    <cellStyle name="Entrada 3 3 4 3 2" xfId="5668"/>
    <cellStyle name="Entrada 3 3 4 4" xfId="5669"/>
    <cellStyle name="Entrada 3 3 4 4 2" xfId="5670"/>
    <cellStyle name="Entrada 3 3 5" xfId="5671"/>
    <cellStyle name="Entrada 3 3 5 2" xfId="5672"/>
    <cellStyle name="Entrada 3 3 6" xfId="5673"/>
    <cellStyle name="Entrada 3 3 6 2" xfId="5674"/>
    <cellStyle name="Entrada 3 3 7" xfId="5675"/>
    <cellStyle name="Entrada 3 3 7 2" xfId="5676"/>
    <cellStyle name="Entrada 3 4" xfId="2164"/>
    <cellStyle name="Entrada 3 4 2" xfId="2165"/>
    <cellStyle name="Entrada 3 4 2 2" xfId="5677"/>
    <cellStyle name="Entrada 3 4 2 2 2" xfId="5678"/>
    <cellStyle name="Entrada 3 4 2 2 2 2" xfId="5679"/>
    <cellStyle name="Entrada 3 4 2 2 3" xfId="5680"/>
    <cellStyle name="Entrada 3 4 2 2 3 2" xfId="5681"/>
    <cellStyle name="Entrada 3 4 2 2 4" xfId="5682"/>
    <cellStyle name="Entrada 3 4 2 2 4 2" xfId="5683"/>
    <cellStyle name="Entrada 3 4 2 3" xfId="5684"/>
    <cellStyle name="Entrada 3 4 2 3 2" xfId="5685"/>
    <cellStyle name="Entrada 3 4 2 3 2 2" xfId="5686"/>
    <cellStyle name="Entrada 3 4 2 3 3" xfId="5687"/>
    <cellStyle name="Entrada 3 4 2 3 3 2" xfId="5688"/>
    <cellStyle name="Entrada 3 4 2 3 4" xfId="5689"/>
    <cellStyle name="Entrada 3 4 2 3 4 2" xfId="5690"/>
    <cellStyle name="Entrada 3 4 2 4" xfId="5691"/>
    <cellStyle name="Entrada 3 4 2 4 2" xfId="5692"/>
    <cellStyle name="Entrada 3 4 2 5" xfId="5693"/>
    <cellStyle name="Entrada 3 4 2 5 2" xfId="5694"/>
    <cellStyle name="Entrada 3 4 2 6" xfId="5695"/>
    <cellStyle name="Entrada 3 4 2 6 2" xfId="5696"/>
    <cellStyle name="Entrada 3 4 3" xfId="5697"/>
    <cellStyle name="Entrada 3 4 3 2" xfId="5698"/>
    <cellStyle name="Entrada 3 4 3 2 2" xfId="5699"/>
    <cellStyle name="Entrada 3 4 3 3" xfId="5700"/>
    <cellStyle name="Entrada 3 4 3 3 2" xfId="5701"/>
    <cellStyle name="Entrada 3 4 3 4" xfId="5702"/>
    <cellStyle name="Entrada 3 4 3 4 2" xfId="5703"/>
    <cellStyle name="Entrada 3 4 4" xfId="5704"/>
    <cellStyle name="Entrada 3 4 4 2" xfId="5705"/>
    <cellStyle name="Entrada 3 4 4 2 2" xfId="5706"/>
    <cellStyle name="Entrada 3 4 4 3" xfId="5707"/>
    <cellStyle name="Entrada 3 4 4 3 2" xfId="5708"/>
    <cellStyle name="Entrada 3 4 4 4" xfId="5709"/>
    <cellStyle name="Entrada 3 4 4 4 2" xfId="5710"/>
    <cellStyle name="Entrada 3 4 5" xfId="5711"/>
    <cellStyle name="Entrada 3 4 5 2" xfId="5712"/>
    <cellStyle name="Entrada 3 4 6" xfId="5713"/>
    <cellStyle name="Entrada 3 4 6 2" xfId="5714"/>
    <cellStyle name="Entrada 3 4 7" xfId="5715"/>
    <cellStyle name="Entrada 3 4 7 2" xfId="5716"/>
    <cellStyle name="Entrada 3 5" xfId="2166"/>
    <cellStyle name="Entrada 3 5 2" xfId="2167"/>
    <cellStyle name="Entrada 3 5 2 2" xfId="5717"/>
    <cellStyle name="Entrada 3 5 2 2 2" xfId="5718"/>
    <cellStyle name="Entrada 3 5 2 2 2 2" xfId="5719"/>
    <cellStyle name="Entrada 3 5 2 2 3" xfId="5720"/>
    <cellStyle name="Entrada 3 5 2 2 3 2" xfId="5721"/>
    <cellStyle name="Entrada 3 5 2 2 4" xfId="5722"/>
    <cellStyle name="Entrada 3 5 2 2 4 2" xfId="5723"/>
    <cellStyle name="Entrada 3 5 2 3" xfId="5724"/>
    <cellStyle name="Entrada 3 5 2 3 2" xfId="5725"/>
    <cellStyle name="Entrada 3 5 2 3 2 2" xfId="5726"/>
    <cellStyle name="Entrada 3 5 2 3 3" xfId="5727"/>
    <cellStyle name="Entrada 3 5 2 3 3 2" xfId="5728"/>
    <cellStyle name="Entrada 3 5 2 3 4" xfId="5729"/>
    <cellStyle name="Entrada 3 5 2 3 4 2" xfId="5730"/>
    <cellStyle name="Entrada 3 5 2 4" xfId="5731"/>
    <cellStyle name="Entrada 3 5 2 4 2" xfId="5732"/>
    <cellStyle name="Entrada 3 5 2 5" xfId="5733"/>
    <cellStyle name="Entrada 3 5 2 5 2" xfId="5734"/>
    <cellStyle name="Entrada 3 5 2 6" xfId="5735"/>
    <cellStyle name="Entrada 3 5 2 6 2" xfId="5736"/>
    <cellStyle name="Entrada 3 5 3" xfId="5737"/>
    <cellStyle name="Entrada 3 5 3 2" xfId="5738"/>
    <cellStyle name="Entrada 3 5 3 2 2" xfId="5739"/>
    <cellStyle name="Entrada 3 5 3 3" xfId="5740"/>
    <cellStyle name="Entrada 3 5 3 3 2" xfId="5741"/>
    <cellStyle name="Entrada 3 5 3 4" xfId="5742"/>
    <cellStyle name="Entrada 3 5 3 4 2" xfId="5743"/>
    <cellStyle name="Entrada 3 5 4" xfId="5744"/>
    <cellStyle name="Entrada 3 5 4 2" xfId="5745"/>
    <cellStyle name="Entrada 3 5 4 2 2" xfId="5746"/>
    <cellStyle name="Entrada 3 5 4 3" xfId="5747"/>
    <cellStyle name="Entrada 3 5 4 3 2" xfId="5748"/>
    <cellStyle name="Entrada 3 5 4 4" xfId="5749"/>
    <cellStyle name="Entrada 3 5 4 4 2" xfId="5750"/>
    <cellStyle name="Entrada 3 5 5" xfId="5751"/>
    <cellStyle name="Entrada 3 5 5 2" xfId="5752"/>
    <cellStyle name="Entrada 3 5 6" xfId="5753"/>
    <cellStyle name="Entrada 3 5 6 2" xfId="5754"/>
    <cellStyle name="Entrada 3 5 7" xfId="5755"/>
    <cellStyle name="Entrada 3 5 7 2" xfId="5756"/>
    <cellStyle name="Entrada 3 6" xfId="2168"/>
    <cellStyle name="Entrada 3 6 2" xfId="5757"/>
    <cellStyle name="Entrada 3 6 2 2" xfId="5758"/>
    <cellStyle name="Entrada 3 6 2 2 2" xfId="5759"/>
    <cellStyle name="Entrada 3 6 2 3" xfId="5760"/>
    <cellStyle name="Entrada 3 6 2 3 2" xfId="5761"/>
    <cellStyle name="Entrada 3 6 2 4" xfId="5762"/>
    <cellStyle name="Entrada 3 6 2 4 2" xfId="5763"/>
    <cellStyle name="Entrada 3 6 3" xfId="5764"/>
    <cellStyle name="Entrada 3 6 3 2" xfId="5765"/>
    <cellStyle name="Entrada 3 6 3 2 2" xfId="5766"/>
    <cellStyle name="Entrada 3 6 3 3" xfId="5767"/>
    <cellStyle name="Entrada 3 6 3 3 2" xfId="5768"/>
    <cellStyle name="Entrada 3 6 3 4" xfId="5769"/>
    <cellStyle name="Entrada 3 6 3 4 2" xfId="5770"/>
    <cellStyle name="Entrada 3 6 4" xfId="5771"/>
    <cellStyle name="Entrada 3 6 4 2" xfId="5772"/>
    <cellStyle name="Entrada 3 6 5" xfId="5773"/>
    <cellStyle name="Entrada 3 6 5 2" xfId="5774"/>
    <cellStyle name="Entrada 3 6 6" xfId="5775"/>
    <cellStyle name="Entrada 3 6 6 2" xfId="5776"/>
    <cellStyle name="Entrada 3 7" xfId="5777"/>
    <cellStyle name="Entrada 3 7 2" xfId="5778"/>
    <cellStyle name="Entrada 3 7 2 2" xfId="5779"/>
    <cellStyle name="Entrada 3 7 3" xfId="5780"/>
    <cellStyle name="Entrada 3 7 3 2" xfId="5781"/>
    <cellStyle name="Entrada 3 7 4" xfId="5782"/>
    <cellStyle name="Entrada 3 7 4 2" xfId="5783"/>
    <cellStyle name="Entrada 3 8" xfId="5784"/>
    <cellStyle name="Entrada 3 8 2" xfId="5785"/>
    <cellStyle name="Entrada 3 8 2 2" xfId="5786"/>
    <cellStyle name="Entrada 3 8 3" xfId="5787"/>
    <cellStyle name="Entrada 3 8 3 2" xfId="5788"/>
    <cellStyle name="Entrada 3 8 4" xfId="5789"/>
    <cellStyle name="Entrada 3 8 4 2" xfId="5790"/>
    <cellStyle name="Entrada 3 9" xfId="5791"/>
    <cellStyle name="Entrada 3 9 2" xfId="5792"/>
    <cellStyle name="Entrada 4" xfId="647"/>
    <cellStyle name="Entrada 4 10" xfId="5793"/>
    <cellStyle name="Entrada 4 10 2" xfId="5794"/>
    <cellStyle name="Entrada 4 11" xfId="5795"/>
    <cellStyle name="Entrada 4 11 2" xfId="5796"/>
    <cellStyle name="Entrada 4 2" xfId="2169"/>
    <cellStyle name="Entrada 4 2 10" xfId="5797"/>
    <cellStyle name="Entrada 4 2 10 2" xfId="5798"/>
    <cellStyle name="Entrada 4 2 2" xfId="2170"/>
    <cellStyle name="Entrada 4 2 2 2" xfId="2171"/>
    <cellStyle name="Entrada 4 2 2 2 2" xfId="5799"/>
    <cellStyle name="Entrada 4 2 2 2 2 2" xfId="5800"/>
    <cellStyle name="Entrada 4 2 2 2 2 2 2" xfId="5801"/>
    <cellStyle name="Entrada 4 2 2 2 2 3" xfId="5802"/>
    <cellStyle name="Entrada 4 2 2 2 2 3 2" xfId="5803"/>
    <cellStyle name="Entrada 4 2 2 2 2 4" xfId="5804"/>
    <cellStyle name="Entrada 4 2 2 2 2 4 2" xfId="5805"/>
    <cellStyle name="Entrada 4 2 2 2 3" xfId="5806"/>
    <cellStyle name="Entrada 4 2 2 2 3 2" xfId="5807"/>
    <cellStyle name="Entrada 4 2 2 2 3 2 2" xfId="5808"/>
    <cellStyle name="Entrada 4 2 2 2 3 3" xfId="5809"/>
    <cellStyle name="Entrada 4 2 2 2 3 3 2" xfId="5810"/>
    <cellStyle name="Entrada 4 2 2 2 3 4" xfId="5811"/>
    <cellStyle name="Entrada 4 2 2 2 3 4 2" xfId="5812"/>
    <cellStyle name="Entrada 4 2 2 2 4" xfId="5813"/>
    <cellStyle name="Entrada 4 2 2 2 4 2" xfId="5814"/>
    <cellStyle name="Entrada 4 2 2 2 5" xfId="5815"/>
    <cellStyle name="Entrada 4 2 2 2 5 2" xfId="5816"/>
    <cellStyle name="Entrada 4 2 2 2 6" xfId="5817"/>
    <cellStyle name="Entrada 4 2 2 2 6 2" xfId="5818"/>
    <cellStyle name="Entrada 4 2 2 3" xfId="5819"/>
    <cellStyle name="Entrada 4 2 2 3 2" xfId="5820"/>
    <cellStyle name="Entrada 4 2 2 3 2 2" xfId="5821"/>
    <cellStyle name="Entrada 4 2 2 3 3" xfId="5822"/>
    <cellStyle name="Entrada 4 2 2 3 3 2" xfId="5823"/>
    <cellStyle name="Entrada 4 2 2 3 4" xfId="5824"/>
    <cellStyle name="Entrada 4 2 2 3 4 2" xfId="5825"/>
    <cellStyle name="Entrada 4 2 2 4" xfId="5826"/>
    <cellStyle name="Entrada 4 2 2 4 2" xfId="5827"/>
    <cellStyle name="Entrada 4 2 2 4 2 2" xfId="5828"/>
    <cellStyle name="Entrada 4 2 2 4 3" xfId="5829"/>
    <cellStyle name="Entrada 4 2 2 4 3 2" xfId="5830"/>
    <cellStyle name="Entrada 4 2 2 4 4" xfId="5831"/>
    <cellStyle name="Entrada 4 2 2 4 4 2" xfId="5832"/>
    <cellStyle name="Entrada 4 2 2 5" xfId="5833"/>
    <cellStyle name="Entrada 4 2 2 5 2" xfId="5834"/>
    <cellStyle name="Entrada 4 2 2 6" xfId="5835"/>
    <cellStyle name="Entrada 4 2 2 6 2" xfId="5836"/>
    <cellStyle name="Entrada 4 2 2 7" xfId="5837"/>
    <cellStyle name="Entrada 4 2 2 7 2" xfId="5838"/>
    <cellStyle name="Entrada 4 2 3" xfId="2172"/>
    <cellStyle name="Entrada 4 2 3 2" xfId="2173"/>
    <cellStyle name="Entrada 4 2 3 2 2" xfId="5839"/>
    <cellStyle name="Entrada 4 2 3 2 2 2" xfId="5840"/>
    <cellStyle name="Entrada 4 2 3 2 2 2 2" xfId="5841"/>
    <cellStyle name="Entrada 4 2 3 2 2 3" xfId="5842"/>
    <cellStyle name="Entrada 4 2 3 2 2 3 2" xfId="5843"/>
    <cellStyle name="Entrada 4 2 3 2 2 4" xfId="5844"/>
    <cellStyle name="Entrada 4 2 3 2 2 4 2" xfId="5845"/>
    <cellStyle name="Entrada 4 2 3 2 3" xfId="5846"/>
    <cellStyle name="Entrada 4 2 3 2 3 2" xfId="5847"/>
    <cellStyle name="Entrada 4 2 3 2 3 2 2" xfId="5848"/>
    <cellStyle name="Entrada 4 2 3 2 3 3" xfId="5849"/>
    <cellStyle name="Entrada 4 2 3 2 3 3 2" xfId="5850"/>
    <cellStyle name="Entrada 4 2 3 2 3 4" xfId="5851"/>
    <cellStyle name="Entrada 4 2 3 2 3 4 2" xfId="5852"/>
    <cellStyle name="Entrada 4 2 3 2 4" xfId="5853"/>
    <cellStyle name="Entrada 4 2 3 2 4 2" xfId="5854"/>
    <cellStyle name="Entrada 4 2 3 2 5" xfId="5855"/>
    <cellStyle name="Entrada 4 2 3 2 5 2" xfId="5856"/>
    <cellStyle name="Entrada 4 2 3 2 6" xfId="5857"/>
    <cellStyle name="Entrada 4 2 3 2 6 2" xfId="5858"/>
    <cellStyle name="Entrada 4 2 3 3" xfId="5859"/>
    <cellStyle name="Entrada 4 2 3 3 2" xfId="5860"/>
    <cellStyle name="Entrada 4 2 3 3 2 2" xfId="5861"/>
    <cellStyle name="Entrada 4 2 3 3 3" xfId="5862"/>
    <cellStyle name="Entrada 4 2 3 3 3 2" xfId="5863"/>
    <cellStyle name="Entrada 4 2 3 3 4" xfId="5864"/>
    <cellStyle name="Entrada 4 2 3 3 4 2" xfId="5865"/>
    <cellStyle name="Entrada 4 2 3 4" xfId="5866"/>
    <cellStyle name="Entrada 4 2 3 4 2" xfId="5867"/>
    <cellStyle name="Entrada 4 2 3 4 2 2" xfId="5868"/>
    <cellStyle name="Entrada 4 2 3 4 3" xfId="5869"/>
    <cellStyle name="Entrada 4 2 3 4 3 2" xfId="5870"/>
    <cellStyle name="Entrada 4 2 3 4 4" xfId="5871"/>
    <cellStyle name="Entrada 4 2 3 4 4 2" xfId="5872"/>
    <cellStyle name="Entrada 4 2 3 5" xfId="5873"/>
    <cellStyle name="Entrada 4 2 3 5 2" xfId="5874"/>
    <cellStyle name="Entrada 4 2 3 6" xfId="5875"/>
    <cellStyle name="Entrada 4 2 3 6 2" xfId="5876"/>
    <cellStyle name="Entrada 4 2 3 7" xfId="5877"/>
    <cellStyle name="Entrada 4 2 3 7 2" xfId="5878"/>
    <cellStyle name="Entrada 4 2 4" xfId="2174"/>
    <cellStyle name="Entrada 4 2 4 2" xfId="2175"/>
    <cellStyle name="Entrada 4 2 4 2 2" xfId="5879"/>
    <cellStyle name="Entrada 4 2 4 2 2 2" xfId="5880"/>
    <cellStyle name="Entrada 4 2 4 2 2 2 2" xfId="5881"/>
    <cellStyle name="Entrada 4 2 4 2 2 3" xfId="5882"/>
    <cellStyle name="Entrada 4 2 4 2 2 3 2" xfId="5883"/>
    <cellStyle name="Entrada 4 2 4 2 2 4" xfId="5884"/>
    <cellStyle name="Entrada 4 2 4 2 2 4 2" xfId="5885"/>
    <cellStyle name="Entrada 4 2 4 2 3" xfId="5886"/>
    <cellStyle name="Entrada 4 2 4 2 3 2" xfId="5887"/>
    <cellStyle name="Entrada 4 2 4 2 3 2 2" xfId="5888"/>
    <cellStyle name="Entrada 4 2 4 2 3 3" xfId="5889"/>
    <cellStyle name="Entrada 4 2 4 2 3 3 2" xfId="5890"/>
    <cellStyle name="Entrada 4 2 4 2 3 4" xfId="5891"/>
    <cellStyle name="Entrada 4 2 4 2 3 4 2" xfId="5892"/>
    <cellStyle name="Entrada 4 2 4 2 4" xfId="5893"/>
    <cellStyle name="Entrada 4 2 4 2 4 2" xfId="5894"/>
    <cellStyle name="Entrada 4 2 4 2 5" xfId="5895"/>
    <cellStyle name="Entrada 4 2 4 2 5 2" xfId="5896"/>
    <cellStyle name="Entrada 4 2 4 2 6" xfId="5897"/>
    <cellStyle name="Entrada 4 2 4 2 6 2" xfId="5898"/>
    <cellStyle name="Entrada 4 2 4 3" xfId="5899"/>
    <cellStyle name="Entrada 4 2 4 3 2" xfId="5900"/>
    <cellStyle name="Entrada 4 2 4 3 2 2" xfId="5901"/>
    <cellStyle name="Entrada 4 2 4 3 3" xfId="5902"/>
    <cellStyle name="Entrada 4 2 4 3 3 2" xfId="5903"/>
    <cellStyle name="Entrada 4 2 4 3 4" xfId="5904"/>
    <cellStyle name="Entrada 4 2 4 3 4 2" xfId="5905"/>
    <cellStyle name="Entrada 4 2 4 4" xfId="5906"/>
    <cellStyle name="Entrada 4 2 4 4 2" xfId="5907"/>
    <cellStyle name="Entrada 4 2 4 4 2 2" xfId="5908"/>
    <cellStyle name="Entrada 4 2 4 4 3" xfId="5909"/>
    <cellStyle name="Entrada 4 2 4 4 3 2" xfId="5910"/>
    <cellStyle name="Entrada 4 2 4 4 4" xfId="5911"/>
    <cellStyle name="Entrada 4 2 4 4 4 2" xfId="5912"/>
    <cellStyle name="Entrada 4 2 4 5" xfId="5913"/>
    <cellStyle name="Entrada 4 2 4 5 2" xfId="5914"/>
    <cellStyle name="Entrada 4 2 4 6" xfId="5915"/>
    <cellStyle name="Entrada 4 2 4 6 2" xfId="5916"/>
    <cellStyle name="Entrada 4 2 4 7" xfId="5917"/>
    <cellStyle name="Entrada 4 2 4 7 2" xfId="5918"/>
    <cellStyle name="Entrada 4 2 5" xfId="2176"/>
    <cellStyle name="Entrada 4 2 5 2" xfId="5919"/>
    <cellStyle name="Entrada 4 2 5 2 2" xfId="5920"/>
    <cellStyle name="Entrada 4 2 5 2 2 2" xfId="5921"/>
    <cellStyle name="Entrada 4 2 5 2 3" xfId="5922"/>
    <cellStyle name="Entrada 4 2 5 2 3 2" xfId="5923"/>
    <cellStyle name="Entrada 4 2 5 2 4" xfId="5924"/>
    <cellStyle name="Entrada 4 2 5 2 4 2" xfId="5925"/>
    <cellStyle name="Entrada 4 2 5 3" xfId="5926"/>
    <cellStyle name="Entrada 4 2 5 3 2" xfId="5927"/>
    <cellStyle name="Entrada 4 2 5 3 2 2" xfId="5928"/>
    <cellStyle name="Entrada 4 2 5 3 3" xfId="5929"/>
    <cellStyle name="Entrada 4 2 5 3 3 2" xfId="5930"/>
    <cellStyle name="Entrada 4 2 5 3 4" xfId="5931"/>
    <cellStyle name="Entrada 4 2 5 3 4 2" xfId="5932"/>
    <cellStyle name="Entrada 4 2 5 4" xfId="5933"/>
    <cellStyle name="Entrada 4 2 5 4 2" xfId="5934"/>
    <cellStyle name="Entrada 4 2 5 5" xfId="5935"/>
    <cellStyle name="Entrada 4 2 5 5 2" xfId="5936"/>
    <cellStyle name="Entrada 4 2 5 6" xfId="5937"/>
    <cellStyle name="Entrada 4 2 5 6 2" xfId="5938"/>
    <cellStyle name="Entrada 4 2 6" xfId="5939"/>
    <cellStyle name="Entrada 4 2 6 2" xfId="5940"/>
    <cellStyle name="Entrada 4 2 6 2 2" xfId="5941"/>
    <cellStyle name="Entrada 4 2 6 3" xfId="5942"/>
    <cellStyle name="Entrada 4 2 6 3 2" xfId="5943"/>
    <cellStyle name="Entrada 4 2 6 4" xfId="5944"/>
    <cellStyle name="Entrada 4 2 6 4 2" xfId="5945"/>
    <cellStyle name="Entrada 4 2 7" xfId="5946"/>
    <cellStyle name="Entrada 4 2 7 2" xfId="5947"/>
    <cellStyle name="Entrada 4 2 7 2 2" xfId="5948"/>
    <cellStyle name="Entrada 4 2 7 3" xfId="5949"/>
    <cellStyle name="Entrada 4 2 7 3 2" xfId="5950"/>
    <cellStyle name="Entrada 4 2 7 4" xfId="5951"/>
    <cellStyle name="Entrada 4 2 7 4 2" xfId="5952"/>
    <cellStyle name="Entrada 4 2 8" xfId="5953"/>
    <cellStyle name="Entrada 4 2 8 2" xfId="5954"/>
    <cellStyle name="Entrada 4 2 9" xfId="5955"/>
    <cellStyle name="Entrada 4 2 9 2" xfId="5956"/>
    <cellStyle name="Entrada 4 3" xfId="2177"/>
    <cellStyle name="Entrada 4 3 2" xfId="2178"/>
    <cellStyle name="Entrada 4 3 2 2" xfId="5957"/>
    <cellStyle name="Entrada 4 3 2 2 2" xfId="5958"/>
    <cellStyle name="Entrada 4 3 2 2 2 2" xfId="5959"/>
    <cellStyle name="Entrada 4 3 2 2 3" xfId="5960"/>
    <cellStyle name="Entrada 4 3 2 2 3 2" xfId="5961"/>
    <cellStyle name="Entrada 4 3 2 2 4" xfId="5962"/>
    <cellStyle name="Entrada 4 3 2 2 4 2" xfId="5963"/>
    <cellStyle name="Entrada 4 3 2 3" xfId="5964"/>
    <cellStyle name="Entrada 4 3 2 3 2" xfId="5965"/>
    <cellStyle name="Entrada 4 3 2 3 2 2" xfId="5966"/>
    <cellStyle name="Entrada 4 3 2 3 3" xfId="5967"/>
    <cellStyle name="Entrada 4 3 2 3 3 2" xfId="5968"/>
    <cellStyle name="Entrada 4 3 2 3 4" xfId="5969"/>
    <cellStyle name="Entrada 4 3 2 3 4 2" xfId="5970"/>
    <cellStyle name="Entrada 4 3 2 4" xfId="5971"/>
    <cellStyle name="Entrada 4 3 2 4 2" xfId="5972"/>
    <cellStyle name="Entrada 4 3 2 5" xfId="5973"/>
    <cellStyle name="Entrada 4 3 2 5 2" xfId="5974"/>
    <cellStyle name="Entrada 4 3 2 6" xfId="5975"/>
    <cellStyle name="Entrada 4 3 2 6 2" xfId="5976"/>
    <cellStyle name="Entrada 4 3 3" xfId="5977"/>
    <cellStyle name="Entrada 4 3 3 2" xfId="5978"/>
    <cellStyle name="Entrada 4 3 3 2 2" xfId="5979"/>
    <cellStyle name="Entrada 4 3 3 3" xfId="5980"/>
    <cellStyle name="Entrada 4 3 3 3 2" xfId="5981"/>
    <cellStyle name="Entrada 4 3 3 4" xfId="5982"/>
    <cellStyle name="Entrada 4 3 3 4 2" xfId="5983"/>
    <cellStyle name="Entrada 4 3 4" xfId="5984"/>
    <cellStyle name="Entrada 4 3 4 2" xfId="5985"/>
    <cellStyle name="Entrada 4 3 4 2 2" xfId="5986"/>
    <cellStyle name="Entrada 4 3 4 3" xfId="5987"/>
    <cellStyle name="Entrada 4 3 4 3 2" xfId="5988"/>
    <cellStyle name="Entrada 4 3 4 4" xfId="5989"/>
    <cellStyle name="Entrada 4 3 4 4 2" xfId="5990"/>
    <cellStyle name="Entrada 4 3 5" xfId="5991"/>
    <cellStyle name="Entrada 4 3 5 2" xfId="5992"/>
    <cellStyle name="Entrada 4 3 6" xfId="5993"/>
    <cellStyle name="Entrada 4 3 6 2" xfId="5994"/>
    <cellStyle name="Entrada 4 3 7" xfId="5995"/>
    <cellStyle name="Entrada 4 3 7 2" xfId="5996"/>
    <cellStyle name="Entrada 4 4" xfId="2179"/>
    <cellStyle name="Entrada 4 4 2" xfId="2180"/>
    <cellStyle name="Entrada 4 4 2 2" xfId="5997"/>
    <cellStyle name="Entrada 4 4 2 2 2" xfId="5998"/>
    <cellStyle name="Entrada 4 4 2 2 2 2" xfId="5999"/>
    <cellStyle name="Entrada 4 4 2 2 3" xfId="6000"/>
    <cellStyle name="Entrada 4 4 2 2 3 2" xfId="6001"/>
    <cellStyle name="Entrada 4 4 2 2 4" xfId="6002"/>
    <cellStyle name="Entrada 4 4 2 2 4 2" xfId="6003"/>
    <cellStyle name="Entrada 4 4 2 3" xfId="6004"/>
    <cellStyle name="Entrada 4 4 2 3 2" xfId="6005"/>
    <cellStyle name="Entrada 4 4 2 3 2 2" xfId="6006"/>
    <cellStyle name="Entrada 4 4 2 3 3" xfId="6007"/>
    <cellStyle name="Entrada 4 4 2 3 3 2" xfId="6008"/>
    <cellStyle name="Entrada 4 4 2 3 4" xfId="6009"/>
    <cellStyle name="Entrada 4 4 2 3 4 2" xfId="6010"/>
    <cellStyle name="Entrada 4 4 2 4" xfId="6011"/>
    <cellStyle name="Entrada 4 4 2 4 2" xfId="6012"/>
    <cellStyle name="Entrada 4 4 2 5" xfId="6013"/>
    <cellStyle name="Entrada 4 4 2 5 2" xfId="6014"/>
    <cellStyle name="Entrada 4 4 2 6" xfId="6015"/>
    <cellStyle name="Entrada 4 4 2 6 2" xfId="6016"/>
    <cellStyle name="Entrada 4 4 3" xfId="6017"/>
    <cellStyle name="Entrada 4 4 3 2" xfId="6018"/>
    <cellStyle name="Entrada 4 4 3 2 2" xfId="6019"/>
    <cellStyle name="Entrada 4 4 3 3" xfId="6020"/>
    <cellStyle name="Entrada 4 4 3 3 2" xfId="6021"/>
    <cellStyle name="Entrada 4 4 3 4" xfId="6022"/>
    <cellStyle name="Entrada 4 4 3 4 2" xfId="6023"/>
    <cellStyle name="Entrada 4 4 4" xfId="6024"/>
    <cellStyle name="Entrada 4 4 4 2" xfId="6025"/>
    <cellStyle name="Entrada 4 4 4 2 2" xfId="6026"/>
    <cellStyle name="Entrada 4 4 4 3" xfId="6027"/>
    <cellStyle name="Entrada 4 4 4 3 2" xfId="6028"/>
    <cellStyle name="Entrada 4 4 4 4" xfId="6029"/>
    <cellStyle name="Entrada 4 4 4 4 2" xfId="6030"/>
    <cellStyle name="Entrada 4 4 5" xfId="6031"/>
    <cellStyle name="Entrada 4 4 5 2" xfId="6032"/>
    <cellStyle name="Entrada 4 4 6" xfId="6033"/>
    <cellStyle name="Entrada 4 4 6 2" xfId="6034"/>
    <cellStyle name="Entrada 4 4 7" xfId="6035"/>
    <cellStyle name="Entrada 4 4 7 2" xfId="6036"/>
    <cellStyle name="Entrada 4 5" xfId="2181"/>
    <cellStyle name="Entrada 4 5 2" xfId="2182"/>
    <cellStyle name="Entrada 4 5 2 2" xfId="6037"/>
    <cellStyle name="Entrada 4 5 2 2 2" xfId="6038"/>
    <cellStyle name="Entrada 4 5 2 2 2 2" xfId="6039"/>
    <cellStyle name="Entrada 4 5 2 2 3" xfId="6040"/>
    <cellStyle name="Entrada 4 5 2 2 3 2" xfId="6041"/>
    <cellStyle name="Entrada 4 5 2 2 4" xfId="6042"/>
    <cellStyle name="Entrada 4 5 2 2 4 2" xfId="6043"/>
    <cellStyle name="Entrada 4 5 2 3" xfId="6044"/>
    <cellStyle name="Entrada 4 5 2 3 2" xfId="6045"/>
    <cellStyle name="Entrada 4 5 2 3 2 2" xfId="6046"/>
    <cellStyle name="Entrada 4 5 2 3 3" xfId="6047"/>
    <cellStyle name="Entrada 4 5 2 3 3 2" xfId="6048"/>
    <cellStyle name="Entrada 4 5 2 3 4" xfId="6049"/>
    <cellStyle name="Entrada 4 5 2 3 4 2" xfId="6050"/>
    <cellStyle name="Entrada 4 5 2 4" xfId="6051"/>
    <cellStyle name="Entrada 4 5 2 4 2" xfId="6052"/>
    <cellStyle name="Entrada 4 5 2 5" xfId="6053"/>
    <cellStyle name="Entrada 4 5 2 5 2" xfId="6054"/>
    <cellStyle name="Entrada 4 5 2 6" xfId="6055"/>
    <cellStyle name="Entrada 4 5 2 6 2" xfId="6056"/>
    <cellStyle name="Entrada 4 5 3" xfId="6057"/>
    <cellStyle name="Entrada 4 5 3 2" xfId="6058"/>
    <cellStyle name="Entrada 4 5 3 2 2" xfId="6059"/>
    <cellStyle name="Entrada 4 5 3 3" xfId="6060"/>
    <cellStyle name="Entrada 4 5 3 3 2" xfId="6061"/>
    <cellStyle name="Entrada 4 5 3 4" xfId="6062"/>
    <cellStyle name="Entrada 4 5 3 4 2" xfId="6063"/>
    <cellStyle name="Entrada 4 5 4" xfId="6064"/>
    <cellStyle name="Entrada 4 5 4 2" xfId="6065"/>
    <cellStyle name="Entrada 4 5 4 2 2" xfId="6066"/>
    <cellStyle name="Entrada 4 5 4 3" xfId="6067"/>
    <cellStyle name="Entrada 4 5 4 3 2" xfId="6068"/>
    <cellStyle name="Entrada 4 5 4 4" xfId="6069"/>
    <cellStyle name="Entrada 4 5 4 4 2" xfId="6070"/>
    <cellStyle name="Entrada 4 5 5" xfId="6071"/>
    <cellStyle name="Entrada 4 5 5 2" xfId="6072"/>
    <cellStyle name="Entrada 4 5 6" xfId="6073"/>
    <cellStyle name="Entrada 4 5 6 2" xfId="6074"/>
    <cellStyle name="Entrada 4 5 7" xfId="6075"/>
    <cellStyle name="Entrada 4 5 7 2" xfId="6076"/>
    <cellStyle name="Entrada 4 6" xfId="2183"/>
    <cellStyle name="Entrada 4 6 2" xfId="6077"/>
    <cellStyle name="Entrada 4 6 2 2" xfId="6078"/>
    <cellStyle name="Entrada 4 6 2 2 2" xfId="6079"/>
    <cellStyle name="Entrada 4 6 2 3" xfId="6080"/>
    <cellStyle name="Entrada 4 6 2 3 2" xfId="6081"/>
    <cellStyle name="Entrada 4 6 2 4" xfId="6082"/>
    <cellStyle name="Entrada 4 6 2 4 2" xfId="6083"/>
    <cellStyle name="Entrada 4 6 3" xfId="6084"/>
    <cellStyle name="Entrada 4 6 3 2" xfId="6085"/>
    <cellStyle name="Entrada 4 6 3 2 2" xfId="6086"/>
    <cellStyle name="Entrada 4 6 3 3" xfId="6087"/>
    <cellStyle name="Entrada 4 6 3 3 2" xfId="6088"/>
    <cellStyle name="Entrada 4 6 3 4" xfId="6089"/>
    <cellStyle name="Entrada 4 6 3 4 2" xfId="6090"/>
    <cellStyle name="Entrada 4 6 4" xfId="6091"/>
    <cellStyle name="Entrada 4 6 4 2" xfId="6092"/>
    <cellStyle name="Entrada 4 6 5" xfId="6093"/>
    <cellStyle name="Entrada 4 6 5 2" xfId="6094"/>
    <cellStyle name="Entrada 4 6 6" xfId="6095"/>
    <cellStyle name="Entrada 4 6 6 2" xfId="6096"/>
    <cellStyle name="Entrada 4 7" xfId="6097"/>
    <cellStyle name="Entrada 4 7 2" xfId="6098"/>
    <cellStyle name="Entrada 4 7 2 2" xfId="6099"/>
    <cellStyle name="Entrada 4 7 3" xfId="6100"/>
    <cellStyle name="Entrada 4 7 3 2" xfId="6101"/>
    <cellStyle name="Entrada 4 7 4" xfId="6102"/>
    <cellStyle name="Entrada 4 7 4 2" xfId="6103"/>
    <cellStyle name="Entrada 4 8" xfId="6104"/>
    <cellStyle name="Entrada 4 8 2" xfId="6105"/>
    <cellStyle name="Entrada 4 8 2 2" xfId="6106"/>
    <cellStyle name="Entrada 4 8 3" xfId="6107"/>
    <cellStyle name="Entrada 4 8 3 2" xfId="6108"/>
    <cellStyle name="Entrada 4 8 4" xfId="6109"/>
    <cellStyle name="Entrada 4 8 4 2" xfId="6110"/>
    <cellStyle name="Entrada 4 9" xfId="6111"/>
    <cellStyle name="Entrada 4 9 2" xfId="6112"/>
    <cellStyle name="Entrada 5" xfId="648"/>
    <cellStyle name="Entrada 5 10" xfId="6113"/>
    <cellStyle name="Entrada 5 10 2" xfId="6114"/>
    <cellStyle name="Entrada 5 11" xfId="6115"/>
    <cellStyle name="Entrada 5 11 2" xfId="6116"/>
    <cellStyle name="Entrada 5 2" xfId="2184"/>
    <cellStyle name="Entrada 5 2 10" xfId="6117"/>
    <cellStyle name="Entrada 5 2 10 2" xfId="6118"/>
    <cellStyle name="Entrada 5 2 2" xfId="2185"/>
    <cellStyle name="Entrada 5 2 2 2" xfId="2186"/>
    <cellStyle name="Entrada 5 2 2 2 2" xfId="6119"/>
    <cellStyle name="Entrada 5 2 2 2 2 2" xfId="6120"/>
    <cellStyle name="Entrada 5 2 2 2 2 2 2" xfId="6121"/>
    <cellStyle name="Entrada 5 2 2 2 2 3" xfId="6122"/>
    <cellStyle name="Entrada 5 2 2 2 2 3 2" xfId="6123"/>
    <cellStyle name="Entrada 5 2 2 2 2 4" xfId="6124"/>
    <cellStyle name="Entrada 5 2 2 2 2 4 2" xfId="6125"/>
    <cellStyle name="Entrada 5 2 2 2 3" xfId="6126"/>
    <cellStyle name="Entrada 5 2 2 2 3 2" xfId="6127"/>
    <cellStyle name="Entrada 5 2 2 2 3 2 2" xfId="6128"/>
    <cellStyle name="Entrada 5 2 2 2 3 3" xfId="6129"/>
    <cellStyle name="Entrada 5 2 2 2 3 3 2" xfId="6130"/>
    <cellStyle name="Entrada 5 2 2 2 3 4" xfId="6131"/>
    <cellStyle name="Entrada 5 2 2 2 3 4 2" xfId="6132"/>
    <cellStyle name="Entrada 5 2 2 2 4" xfId="6133"/>
    <cellStyle name="Entrada 5 2 2 2 4 2" xfId="6134"/>
    <cellStyle name="Entrada 5 2 2 2 5" xfId="6135"/>
    <cellStyle name="Entrada 5 2 2 2 5 2" xfId="6136"/>
    <cellStyle name="Entrada 5 2 2 2 6" xfId="6137"/>
    <cellStyle name="Entrada 5 2 2 2 6 2" xfId="6138"/>
    <cellStyle name="Entrada 5 2 2 3" xfId="6139"/>
    <cellStyle name="Entrada 5 2 2 3 2" xfId="6140"/>
    <cellStyle name="Entrada 5 2 2 3 2 2" xfId="6141"/>
    <cellStyle name="Entrada 5 2 2 3 3" xfId="6142"/>
    <cellStyle name="Entrada 5 2 2 3 3 2" xfId="6143"/>
    <cellStyle name="Entrada 5 2 2 3 4" xfId="6144"/>
    <cellStyle name="Entrada 5 2 2 3 4 2" xfId="6145"/>
    <cellStyle name="Entrada 5 2 2 4" xfId="6146"/>
    <cellStyle name="Entrada 5 2 2 4 2" xfId="6147"/>
    <cellStyle name="Entrada 5 2 2 4 2 2" xfId="6148"/>
    <cellStyle name="Entrada 5 2 2 4 3" xfId="6149"/>
    <cellStyle name="Entrada 5 2 2 4 3 2" xfId="6150"/>
    <cellStyle name="Entrada 5 2 2 4 4" xfId="6151"/>
    <cellStyle name="Entrada 5 2 2 4 4 2" xfId="6152"/>
    <cellStyle name="Entrada 5 2 2 5" xfId="6153"/>
    <cellStyle name="Entrada 5 2 2 5 2" xfId="6154"/>
    <cellStyle name="Entrada 5 2 2 6" xfId="6155"/>
    <cellStyle name="Entrada 5 2 2 6 2" xfId="6156"/>
    <cellStyle name="Entrada 5 2 2 7" xfId="6157"/>
    <cellStyle name="Entrada 5 2 2 7 2" xfId="6158"/>
    <cellStyle name="Entrada 5 2 3" xfId="2187"/>
    <cellStyle name="Entrada 5 2 3 2" xfId="2188"/>
    <cellStyle name="Entrada 5 2 3 2 2" xfId="6159"/>
    <cellStyle name="Entrada 5 2 3 2 2 2" xfId="6160"/>
    <cellStyle name="Entrada 5 2 3 2 2 2 2" xfId="6161"/>
    <cellStyle name="Entrada 5 2 3 2 2 3" xfId="6162"/>
    <cellStyle name="Entrada 5 2 3 2 2 3 2" xfId="6163"/>
    <cellStyle name="Entrada 5 2 3 2 2 4" xfId="6164"/>
    <cellStyle name="Entrada 5 2 3 2 2 4 2" xfId="6165"/>
    <cellStyle name="Entrada 5 2 3 2 3" xfId="6166"/>
    <cellStyle name="Entrada 5 2 3 2 3 2" xfId="6167"/>
    <cellStyle name="Entrada 5 2 3 2 3 2 2" xfId="6168"/>
    <cellStyle name="Entrada 5 2 3 2 3 3" xfId="6169"/>
    <cellStyle name="Entrada 5 2 3 2 3 3 2" xfId="6170"/>
    <cellStyle name="Entrada 5 2 3 2 3 4" xfId="6171"/>
    <cellStyle name="Entrada 5 2 3 2 3 4 2" xfId="6172"/>
    <cellStyle name="Entrada 5 2 3 2 4" xfId="6173"/>
    <cellStyle name="Entrada 5 2 3 2 4 2" xfId="6174"/>
    <cellStyle name="Entrada 5 2 3 2 5" xfId="6175"/>
    <cellStyle name="Entrada 5 2 3 2 5 2" xfId="6176"/>
    <cellStyle name="Entrada 5 2 3 2 6" xfId="6177"/>
    <cellStyle name="Entrada 5 2 3 2 6 2" xfId="6178"/>
    <cellStyle name="Entrada 5 2 3 3" xfId="6179"/>
    <cellStyle name="Entrada 5 2 3 3 2" xfId="6180"/>
    <cellStyle name="Entrada 5 2 3 3 2 2" xfId="6181"/>
    <cellStyle name="Entrada 5 2 3 3 3" xfId="6182"/>
    <cellStyle name="Entrada 5 2 3 3 3 2" xfId="6183"/>
    <cellStyle name="Entrada 5 2 3 3 4" xfId="6184"/>
    <cellStyle name="Entrada 5 2 3 3 4 2" xfId="6185"/>
    <cellStyle name="Entrada 5 2 3 4" xfId="6186"/>
    <cellStyle name="Entrada 5 2 3 4 2" xfId="6187"/>
    <cellStyle name="Entrada 5 2 3 4 2 2" xfId="6188"/>
    <cellStyle name="Entrada 5 2 3 4 3" xfId="6189"/>
    <cellStyle name="Entrada 5 2 3 4 3 2" xfId="6190"/>
    <cellStyle name="Entrada 5 2 3 4 4" xfId="6191"/>
    <cellStyle name="Entrada 5 2 3 4 4 2" xfId="6192"/>
    <cellStyle name="Entrada 5 2 3 5" xfId="6193"/>
    <cellStyle name="Entrada 5 2 3 5 2" xfId="6194"/>
    <cellStyle name="Entrada 5 2 3 6" xfId="6195"/>
    <cellStyle name="Entrada 5 2 3 6 2" xfId="6196"/>
    <cellStyle name="Entrada 5 2 3 7" xfId="6197"/>
    <cellStyle name="Entrada 5 2 3 7 2" xfId="6198"/>
    <cellStyle name="Entrada 5 2 4" xfId="2189"/>
    <cellStyle name="Entrada 5 2 4 2" xfId="2190"/>
    <cellStyle name="Entrada 5 2 4 2 2" xfId="6199"/>
    <cellStyle name="Entrada 5 2 4 2 2 2" xfId="6200"/>
    <cellStyle name="Entrada 5 2 4 2 2 2 2" xfId="6201"/>
    <cellStyle name="Entrada 5 2 4 2 2 3" xfId="6202"/>
    <cellStyle name="Entrada 5 2 4 2 2 3 2" xfId="6203"/>
    <cellStyle name="Entrada 5 2 4 2 2 4" xfId="6204"/>
    <cellStyle name="Entrada 5 2 4 2 2 4 2" xfId="6205"/>
    <cellStyle name="Entrada 5 2 4 2 3" xfId="6206"/>
    <cellStyle name="Entrada 5 2 4 2 3 2" xfId="6207"/>
    <cellStyle name="Entrada 5 2 4 2 3 2 2" xfId="6208"/>
    <cellStyle name="Entrada 5 2 4 2 3 3" xfId="6209"/>
    <cellStyle name="Entrada 5 2 4 2 3 3 2" xfId="6210"/>
    <cellStyle name="Entrada 5 2 4 2 3 4" xfId="6211"/>
    <cellStyle name="Entrada 5 2 4 2 3 4 2" xfId="6212"/>
    <cellStyle name="Entrada 5 2 4 2 4" xfId="6213"/>
    <cellStyle name="Entrada 5 2 4 2 4 2" xfId="6214"/>
    <cellStyle name="Entrada 5 2 4 2 5" xfId="6215"/>
    <cellStyle name="Entrada 5 2 4 2 5 2" xfId="6216"/>
    <cellStyle name="Entrada 5 2 4 2 6" xfId="6217"/>
    <cellStyle name="Entrada 5 2 4 2 6 2" xfId="6218"/>
    <cellStyle name="Entrada 5 2 4 3" xfId="6219"/>
    <cellStyle name="Entrada 5 2 4 3 2" xfId="6220"/>
    <cellStyle name="Entrada 5 2 4 3 2 2" xfId="6221"/>
    <cellStyle name="Entrada 5 2 4 3 3" xfId="6222"/>
    <cellStyle name="Entrada 5 2 4 3 3 2" xfId="6223"/>
    <cellStyle name="Entrada 5 2 4 3 4" xfId="6224"/>
    <cellStyle name="Entrada 5 2 4 3 4 2" xfId="6225"/>
    <cellStyle name="Entrada 5 2 4 4" xfId="6226"/>
    <cellStyle name="Entrada 5 2 4 4 2" xfId="6227"/>
    <cellStyle name="Entrada 5 2 4 4 2 2" xfId="6228"/>
    <cellStyle name="Entrada 5 2 4 4 3" xfId="6229"/>
    <cellStyle name="Entrada 5 2 4 4 3 2" xfId="6230"/>
    <cellStyle name="Entrada 5 2 4 4 4" xfId="6231"/>
    <cellStyle name="Entrada 5 2 4 4 4 2" xfId="6232"/>
    <cellStyle name="Entrada 5 2 4 5" xfId="6233"/>
    <cellStyle name="Entrada 5 2 4 5 2" xfId="6234"/>
    <cellStyle name="Entrada 5 2 4 6" xfId="6235"/>
    <cellStyle name="Entrada 5 2 4 6 2" xfId="6236"/>
    <cellStyle name="Entrada 5 2 4 7" xfId="6237"/>
    <cellStyle name="Entrada 5 2 4 7 2" xfId="6238"/>
    <cellStyle name="Entrada 5 2 5" xfId="2191"/>
    <cellStyle name="Entrada 5 2 5 2" xfId="6239"/>
    <cellStyle name="Entrada 5 2 5 2 2" xfId="6240"/>
    <cellStyle name="Entrada 5 2 5 2 2 2" xfId="6241"/>
    <cellStyle name="Entrada 5 2 5 2 3" xfId="6242"/>
    <cellStyle name="Entrada 5 2 5 2 3 2" xfId="6243"/>
    <cellStyle name="Entrada 5 2 5 2 4" xfId="6244"/>
    <cellStyle name="Entrada 5 2 5 2 4 2" xfId="6245"/>
    <cellStyle name="Entrada 5 2 5 3" xfId="6246"/>
    <cellStyle name="Entrada 5 2 5 3 2" xfId="6247"/>
    <cellStyle name="Entrada 5 2 5 3 2 2" xfId="6248"/>
    <cellStyle name="Entrada 5 2 5 3 3" xfId="6249"/>
    <cellStyle name="Entrada 5 2 5 3 3 2" xfId="6250"/>
    <cellStyle name="Entrada 5 2 5 3 4" xfId="6251"/>
    <cellStyle name="Entrada 5 2 5 3 4 2" xfId="6252"/>
    <cellStyle name="Entrada 5 2 5 4" xfId="6253"/>
    <cellStyle name="Entrada 5 2 5 4 2" xfId="6254"/>
    <cellStyle name="Entrada 5 2 5 5" xfId="6255"/>
    <cellStyle name="Entrada 5 2 5 5 2" xfId="6256"/>
    <cellStyle name="Entrada 5 2 5 6" xfId="6257"/>
    <cellStyle name="Entrada 5 2 5 6 2" xfId="6258"/>
    <cellStyle name="Entrada 5 2 6" xfId="6259"/>
    <cellStyle name="Entrada 5 2 6 2" xfId="6260"/>
    <cellStyle name="Entrada 5 2 6 2 2" xfId="6261"/>
    <cellStyle name="Entrada 5 2 6 3" xfId="6262"/>
    <cellStyle name="Entrada 5 2 6 3 2" xfId="6263"/>
    <cellStyle name="Entrada 5 2 6 4" xfId="6264"/>
    <cellStyle name="Entrada 5 2 6 4 2" xfId="6265"/>
    <cellStyle name="Entrada 5 2 7" xfId="6266"/>
    <cellStyle name="Entrada 5 2 7 2" xfId="6267"/>
    <cellStyle name="Entrada 5 2 7 2 2" xfId="6268"/>
    <cellStyle name="Entrada 5 2 7 3" xfId="6269"/>
    <cellStyle name="Entrada 5 2 7 3 2" xfId="6270"/>
    <cellStyle name="Entrada 5 2 7 4" xfId="6271"/>
    <cellStyle name="Entrada 5 2 7 4 2" xfId="6272"/>
    <cellStyle name="Entrada 5 2 8" xfId="6273"/>
    <cellStyle name="Entrada 5 2 8 2" xfId="6274"/>
    <cellStyle name="Entrada 5 2 9" xfId="6275"/>
    <cellStyle name="Entrada 5 2 9 2" xfId="6276"/>
    <cellStyle name="Entrada 5 3" xfId="2192"/>
    <cellStyle name="Entrada 5 3 2" xfId="2193"/>
    <cellStyle name="Entrada 5 3 2 2" xfId="6277"/>
    <cellStyle name="Entrada 5 3 2 2 2" xfId="6278"/>
    <cellStyle name="Entrada 5 3 2 2 2 2" xfId="6279"/>
    <cellStyle name="Entrada 5 3 2 2 3" xfId="6280"/>
    <cellStyle name="Entrada 5 3 2 2 3 2" xfId="6281"/>
    <cellStyle name="Entrada 5 3 2 2 4" xfId="6282"/>
    <cellStyle name="Entrada 5 3 2 2 4 2" xfId="6283"/>
    <cellStyle name="Entrada 5 3 2 3" xfId="6284"/>
    <cellStyle name="Entrada 5 3 2 3 2" xfId="6285"/>
    <cellStyle name="Entrada 5 3 2 3 2 2" xfId="6286"/>
    <cellStyle name="Entrada 5 3 2 3 3" xfId="6287"/>
    <cellStyle name="Entrada 5 3 2 3 3 2" xfId="6288"/>
    <cellStyle name="Entrada 5 3 2 3 4" xfId="6289"/>
    <cellStyle name="Entrada 5 3 2 3 4 2" xfId="6290"/>
    <cellStyle name="Entrada 5 3 2 4" xfId="6291"/>
    <cellStyle name="Entrada 5 3 2 4 2" xfId="6292"/>
    <cellStyle name="Entrada 5 3 2 5" xfId="6293"/>
    <cellStyle name="Entrada 5 3 2 5 2" xfId="6294"/>
    <cellStyle name="Entrada 5 3 2 6" xfId="6295"/>
    <cellStyle name="Entrada 5 3 2 6 2" xfId="6296"/>
    <cellStyle name="Entrada 5 3 3" xfId="6297"/>
    <cellStyle name="Entrada 5 3 3 2" xfId="6298"/>
    <cellStyle name="Entrada 5 3 3 2 2" xfId="6299"/>
    <cellStyle name="Entrada 5 3 3 3" xfId="6300"/>
    <cellStyle name="Entrada 5 3 3 3 2" xfId="6301"/>
    <cellStyle name="Entrada 5 3 3 4" xfId="6302"/>
    <cellStyle name="Entrada 5 3 3 4 2" xfId="6303"/>
    <cellStyle name="Entrada 5 3 4" xfId="6304"/>
    <cellStyle name="Entrada 5 3 4 2" xfId="6305"/>
    <cellStyle name="Entrada 5 3 4 2 2" xfId="6306"/>
    <cellStyle name="Entrada 5 3 4 3" xfId="6307"/>
    <cellStyle name="Entrada 5 3 4 3 2" xfId="6308"/>
    <cellStyle name="Entrada 5 3 4 4" xfId="6309"/>
    <cellStyle name="Entrada 5 3 4 4 2" xfId="6310"/>
    <cellStyle name="Entrada 5 3 5" xfId="6311"/>
    <cellStyle name="Entrada 5 3 5 2" xfId="6312"/>
    <cellStyle name="Entrada 5 3 6" xfId="6313"/>
    <cellStyle name="Entrada 5 3 6 2" xfId="6314"/>
    <cellStyle name="Entrada 5 3 7" xfId="6315"/>
    <cellStyle name="Entrada 5 3 7 2" xfId="6316"/>
    <cellStyle name="Entrada 5 4" xfId="2194"/>
    <cellStyle name="Entrada 5 4 2" xfId="2195"/>
    <cellStyle name="Entrada 5 4 2 2" xfId="6317"/>
    <cellStyle name="Entrada 5 4 2 2 2" xfId="6318"/>
    <cellStyle name="Entrada 5 4 2 2 2 2" xfId="6319"/>
    <cellStyle name="Entrada 5 4 2 2 3" xfId="6320"/>
    <cellStyle name="Entrada 5 4 2 2 3 2" xfId="6321"/>
    <cellStyle name="Entrada 5 4 2 2 4" xfId="6322"/>
    <cellStyle name="Entrada 5 4 2 2 4 2" xfId="6323"/>
    <cellStyle name="Entrada 5 4 2 3" xfId="6324"/>
    <cellStyle name="Entrada 5 4 2 3 2" xfId="6325"/>
    <cellStyle name="Entrada 5 4 2 3 2 2" xfId="6326"/>
    <cellStyle name="Entrada 5 4 2 3 3" xfId="6327"/>
    <cellStyle name="Entrada 5 4 2 3 3 2" xfId="6328"/>
    <cellStyle name="Entrada 5 4 2 3 4" xfId="6329"/>
    <cellStyle name="Entrada 5 4 2 3 4 2" xfId="6330"/>
    <cellStyle name="Entrada 5 4 2 4" xfId="6331"/>
    <cellStyle name="Entrada 5 4 2 4 2" xfId="6332"/>
    <cellStyle name="Entrada 5 4 2 5" xfId="6333"/>
    <cellStyle name="Entrada 5 4 2 5 2" xfId="6334"/>
    <cellStyle name="Entrada 5 4 2 6" xfId="6335"/>
    <cellStyle name="Entrada 5 4 2 6 2" xfId="6336"/>
    <cellStyle name="Entrada 5 4 3" xfId="6337"/>
    <cellStyle name="Entrada 5 4 3 2" xfId="6338"/>
    <cellStyle name="Entrada 5 4 3 2 2" xfId="6339"/>
    <cellStyle name="Entrada 5 4 3 3" xfId="6340"/>
    <cellStyle name="Entrada 5 4 3 3 2" xfId="6341"/>
    <cellStyle name="Entrada 5 4 3 4" xfId="6342"/>
    <cellStyle name="Entrada 5 4 3 4 2" xfId="6343"/>
    <cellStyle name="Entrada 5 4 4" xfId="6344"/>
    <cellStyle name="Entrada 5 4 4 2" xfId="6345"/>
    <cellStyle name="Entrada 5 4 4 2 2" xfId="6346"/>
    <cellStyle name="Entrada 5 4 4 3" xfId="6347"/>
    <cellStyle name="Entrada 5 4 4 3 2" xfId="6348"/>
    <cellStyle name="Entrada 5 4 4 4" xfId="6349"/>
    <cellStyle name="Entrada 5 4 4 4 2" xfId="6350"/>
    <cellStyle name="Entrada 5 4 5" xfId="6351"/>
    <cellStyle name="Entrada 5 4 5 2" xfId="6352"/>
    <cellStyle name="Entrada 5 4 6" xfId="6353"/>
    <cellStyle name="Entrada 5 4 6 2" xfId="6354"/>
    <cellStyle name="Entrada 5 4 7" xfId="6355"/>
    <cellStyle name="Entrada 5 4 7 2" xfId="6356"/>
    <cellStyle name="Entrada 5 5" xfId="2196"/>
    <cellStyle name="Entrada 5 5 2" xfId="2197"/>
    <cellStyle name="Entrada 5 5 2 2" xfId="6357"/>
    <cellStyle name="Entrada 5 5 2 2 2" xfId="6358"/>
    <cellStyle name="Entrada 5 5 2 2 2 2" xfId="6359"/>
    <cellStyle name="Entrada 5 5 2 2 3" xfId="6360"/>
    <cellStyle name="Entrada 5 5 2 2 3 2" xfId="6361"/>
    <cellStyle name="Entrada 5 5 2 2 4" xfId="6362"/>
    <cellStyle name="Entrada 5 5 2 2 4 2" xfId="6363"/>
    <cellStyle name="Entrada 5 5 2 3" xfId="6364"/>
    <cellStyle name="Entrada 5 5 2 3 2" xfId="6365"/>
    <cellStyle name="Entrada 5 5 2 3 2 2" xfId="6366"/>
    <cellStyle name="Entrada 5 5 2 3 3" xfId="6367"/>
    <cellStyle name="Entrada 5 5 2 3 3 2" xfId="6368"/>
    <cellStyle name="Entrada 5 5 2 3 4" xfId="6369"/>
    <cellStyle name="Entrada 5 5 2 3 4 2" xfId="6370"/>
    <cellStyle name="Entrada 5 5 2 4" xfId="6371"/>
    <cellStyle name="Entrada 5 5 2 4 2" xfId="6372"/>
    <cellStyle name="Entrada 5 5 2 5" xfId="6373"/>
    <cellStyle name="Entrada 5 5 2 5 2" xfId="6374"/>
    <cellStyle name="Entrada 5 5 2 6" xfId="6375"/>
    <cellStyle name="Entrada 5 5 2 6 2" xfId="6376"/>
    <cellStyle name="Entrada 5 5 3" xfId="6377"/>
    <cellStyle name="Entrada 5 5 3 2" xfId="6378"/>
    <cellStyle name="Entrada 5 5 3 2 2" xfId="6379"/>
    <cellStyle name="Entrada 5 5 3 3" xfId="6380"/>
    <cellStyle name="Entrada 5 5 3 3 2" xfId="6381"/>
    <cellStyle name="Entrada 5 5 3 4" xfId="6382"/>
    <cellStyle name="Entrada 5 5 3 4 2" xfId="6383"/>
    <cellStyle name="Entrada 5 5 4" xfId="6384"/>
    <cellStyle name="Entrada 5 5 4 2" xfId="6385"/>
    <cellStyle name="Entrada 5 5 4 2 2" xfId="6386"/>
    <cellStyle name="Entrada 5 5 4 3" xfId="6387"/>
    <cellStyle name="Entrada 5 5 4 3 2" xfId="6388"/>
    <cellStyle name="Entrada 5 5 4 4" xfId="6389"/>
    <cellStyle name="Entrada 5 5 4 4 2" xfId="6390"/>
    <cellStyle name="Entrada 5 5 5" xfId="6391"/>
    <cellStyle name="Entrada 5 5 5 2" xfId="6392"/>
    <cellStyle name="Entrada 5 5 6" xfId="6393"/>
    <cellStyle name="Entrada 5 5 6 2" xfId="6394"/>
    <cellStyle name="Entrada 5 5 7" xfId="6395"/>
    <cellStyle name="Entrada 5 5 7 2" xfId="6396"/>
    <cellStyle name="Entrada 5 6" xfId="2198"/>
    <cellStyle name="Entrada 5 6 2" xfId="6397"/>
    <cellStyle name="Entrada 5 6 2 2" xfId="6398"/>
    <cellStyle name="Entrada 5 6 2 2 2" xfId="6399"/>
    <cellStyle name="Entrada 5 6 2 3" xfId="6400"/>
    <cellStyle name="Entrada 5 6 2 3 2" xfId="6401"/>
    <cellStyle name="Entrada 5 6 2 4" xfId="6402"/>
    <cellStyle name="Entrada 5 6 2 4 2" xfId="6403"/>
    <cellStyle name="Entrada 5 6 3" xfId="6404"/>
    <cellStyle name="Entrada 5 6 3 2" xfId="6405"/>
    <cellStyle name="Entrada 5 6 3 2 2" xfId="6406"/>
    <cellStyle name="Entrada 5 6 3 3" xfId="6407"/>
    <cellStyle name="Entrada 5 6 3 3 2" xfId="6408"/>
    <cellStyle name="Entrada 5 6 3 4" xfId="6409"/>
    <cellStyle name="Entrada 5 6 3 4 2" xfId="6410"/>
    <cellStyle name="Entrada 5 6 4" xfId="6411"/>
    <cellStyle name="Entrada 5 6 4 2" xfId="6412"/>
    <cellStyle name="Entrada 5 6 5" xfId="6413"/>
    <cellStyle name="Entrada 5 6 5 2" xfId="6414"/>
    <cellStyle name="Entrada 5 6 6" xfId="6415"/>
    <cellStyle name="Entrada 5 6 6 2" xfId="6416"/>
    <cellStyle name="Entrada 5 7" xfId="6417"/>
    <cellStyle name="Entrada 5 7 2" xfId="6418"/>
    <cellStyle name="Entrada 5 7 2 2" xfId="6419"/>
    <cellStyle name="Entrada 5 7 3" xfId="6420"/>
    <cellStyle name="Entrada 5 7 3 2" xfId="6421"/>
    <cellStyle name="Entrada 5 7 4" xfId="6422"/>
    <cellStyle name="Entrada 5 7 4 2" xfId="6423"/>
    <cellStyle name="Entrada 5 8" xfId="6424"/>
    <cellStyle name="Entrada 5 8 2" xfId="6425"/>
    <cellStyle name="Entrada 5 8 2 2" xfId="6426"/>
    <cellStyle name="Entrada 5 8 3" xfId="6427"/>
    <cellStyle name="Entrada 5 8 3 2" xfId="6428"/>
    <cellStyle name="Entrada 5 8 4" xfId="6429"/>
    <cellStyle name="Entrada 5 8 4 2" xfId="6430"/>
    <cellStyle name="Entrada 5 9" xfId="6431"/>
    <cellStyle name="Entrada 5 9 2" xfId="6432"/>
    <cellStyle name="Entrada 6" xfId="649"/>
    <cellStyle name="Entrada 6 2" xfId="6433"/>
    <cellStyle name="Entrada 6 2 2" xfId="6434"/>
    <cellStyle name="Entrada 6 2 2 2" xfId="6435"/>
    <cellStyle name="Entrada 6 2 3" xfId="6436"/>
    <cellStyle name="Entrada 6 2 3 2" xfId="6437"/>
    <cellStyle name="Entrada 6 2 4" xfId="6438"/>
    <cellStyle name="Entrada 6 2 4 2" xfId="6439"/>
    <cellStyle name="Entrada 6 3" xfId="6440"/>
    <cellStyle name="Entrada 6 3 2" xfId="6441"/>
    <cellStyle name="Entrada 6 3 2 2" xfId="6442"/>
    <cellStyle name="Entrada 6 3 3" xfId="6443"/>
    <cellStyle name="Entrada 6 3 3 2" xfId="6444"/>
    <cellStyle name="Entrada 6 3 4" xfId="6445"/>
    <cellStyle name="Entrada 6 3 4 2" xfId="6446"/>
    <cellStyle name="Entrada 6 4" xfId="6447"/>
    <cellStyle name="Entrada 6 4 2" xfId="6448"/>
    <cellStyle name="Entrada 6 5" xfId="6449"/>
    <cellStyle name="Entrada 6 5 2" xfId="6450"/>
    <cellStyle name="Entrada 6 6" xfId="6451"/>
    <cellStyle name="Entrada 6 6 2" xfId="6452"/>
    <cellStyle name="Entrada 7" xfId="650"/>
    <cellStyle name="Entrada 7 2" xfId="6453"/>
    <cellStyle name="Entrada 7 2 2" xfId="6454"/>
    <cellStyle name="Entrada 7 2 2 2" xfId="6455"/>
    <cellStyle name="Entrada 7 2 3" xfId="6456"/>
    <cellStyle name="Entrada 7 2 3 2" xfId="6457"/>
    <cellStyle name="Entrada 7 2 4" xfId="6458"/>
    <cellStyle name="Entrada 7 2 4 2" xfId="6459"/>
    <cellStyle name="Entrada 7 3" xfId="6460"/>
    <cellStyle name="Entrada 7 3 2" xfId="6461"/>
    <cellStyle name="Entrada 7 3 2 2" xfId="6462"/>
    <cellStyle name="Entrada 7 3 3" xfId="6463"/>
    <cellStyle name="Entrada 7 3 3 2" xfId="6464"/>
    <cellStyle name="Entrada 7 3 4" xfId="6465"/>
    <cellStyle name="Entrada 7 3 4 2" xfId="6466"/>
    <cellStyle name="Entrada 7 4" xfId="6467"/>
    <cellStyle name="Entrada 7 4 2" xfId="6468"/>
    <cellStyle name="Entrada 7 5" xfId="6469"/>
    <cellStyle name="Entrada 7 5 2" xfId="6470"/>
    <cellStyle name="Entrada 7 6" xfId="6471"/>
    <cellStyle name="Entrada 7 6 2" xfId="6472"/>
    <cellStyle name="Entrada 8" xfId="651"/>
    <cellStyle name="Entrada 8 2" xfId="6473"/>
    <cellStyle name="Entrada 8 2 2" xfId="6474"/>
    <cellStyle name="Entrada 8 2 2 2" xfId="6475"/>
    <cellStyle name="Entrada 8 2 3" xfId="6476"/>
    <cellStyle name="Entrada 8 2 3 2" xfId="6477"/>
    <cellStyle name="Entrada 8 2 4" xfId="6478"/>
    <cellStyle name="Entrada 8 2 4 2" xfId="6479"/>
    <cellStyle name="Entrada 8 3" xfId="6480"/>
    <cellStyle name="Entrada 8 3 2" xfId="6481"/>
    <cellStyle name="Entrada 8 3 2 2" xfId="6482"/>
    <cellStyle name="Entrada 8 3 3" xfId="6483"/>
    <cellStyle name="Entrada 8 3 3 2" xfId="6484"/>
    <cellStyle name="Entrada 8 3 4" xfId="6485"/>
    <cellStyle name="Entrada 8 3 4 2" xfId="6486"/>
    <cellStyle name="Entrada 8 4" xfId="6487"/>
    <cellStyle name="Entrada 8 4 2" xfId="6488"/>
    <cellStyle name="Entrada 8 5" xfId="6489"/>
    <cellStyle name="Entrada 8 5 2" xfId="6490"/>
    <cellStyle name="Entrada 8 6" xfId="6491"/>
    <cellStyle name="Entrada 8 6 2" xfId="6492"/>
    <cellStyle name="Entrada 9" xfId="652"/>
    <cellStyle name="Entrada 9 2" xfId="6493"/>
    <cellStyle name="Entrada 9 2 2" xfId="6494"/>
    <cellStyle name="Entrada 9 2 2 2" xfId="6495"/>
    <cellStyle name="Entrada 9 2 3" xfId="6496"/>
    <cellStyle name="Entrada 9 2 3 2" xfId="6497"/>
    <cellStyle name="Entrada 9 2 4" xfId="6498"/>
    <cellStyle name="Entrada 9 2 4 2" xfId="6499"/>
    <cellStyle name="Entrada 9 3" xfId="6500"/>
    <cellStyle name="Entrada 9 3 2" xfId="6501"/>
    <cellStyle name="Entrada 9 3 2 2" xfId="6502"/>
    <cellStyle name="Entrada 9 3 3" xfId="6503"/>
    <cellStyle name="Entrada 9 3 3 2" xfId="6504"/>
    <cellStyle name="Entrada 9 3 4" xfId="6505"/>
    <cellStyle name="Entrada 9 3 4 2" xfId="6506"/>
    <cellStyle name="Entrada 9 4" xfId="6507"/>
    <cellStyle name="Entrada 9 4 2" xfId="6508"/>
    <cellStyle name="Entrada 9 5" xfId="6509"/>
    <cellStyle name="Entrada 9 5 2" xfId="6510"/>
    <cellStyle name="Entrada 9 6" xfId="6511"/>
    <cellStyle name="Entrada 9 6 2" xfId="6512"/>
    <cellStyle name="Esquerda" xfId="653"/>
    <cellStyle name="Esquerda 2" xfId="6513"/>
    <cellStyle name="Estilo 1" xfId="2199"/>
    <cellStyle name="Estilo 1 2" xfId="6514"/>
    <cellStyle name="Estilo 1 3" xfId="6515"/>
    <cellStyle name="Estilo 2" xfId="2200"/>
    <cellStyle name="estimativa" xfId="654"/>
    <cellStyle name="Euro" xfId="655"/>
    <cellStyle name="Euro 10" xfId="6516"/>
    <cellStyle name="Euro 10 2" xfId="6517"/>
    <cellStyle name="Euro 10 2 2" xfId="6518"/>
    <cellStyle name="Euro 10 3" xfId="6519"/>
    <cellStyle name="Euro 10 3 2" xfId="6520"/>
    <cellStyle name="Euro 10 4" xfId="6521"/>
    <cellStyle name="Euro 10 5" xfId="6522"/>
    <cellStyle name="Euro 11" xfId="6523"/>
    <cellStyle name="Euro 11 2" xfId="6524"/>
    <cellStyle name="Euro 11 2 2" xfId="6525"/>
    <cellStyle name="Euro 11 3" xfId="6526"/>
    <cellStyle name="Euro 11 3 2" xfId="6527"/>
    <cellStyle name="Euro 11 4" xfId="6528"/>
    <cellStyle name="Euro 11 5" xfId="6529"/>
    <cellStyle name="Euro 12" xfId="6530"/>
    <cellStyle name="Euro 12 2" xfId="6531"/>
    <cellStyle name="Euro 12 2 2" xfId="6532"/>
    <cellStyle name="Euro 12 3" xfId="6533"/>
    <cellStyle name="Euro 12 3 2" xfId="6534"/>
    <cellStyle name="Euro 12 4" xfId="6535"/>
    <cellStyle name="Euro 12 5" xfId="6536"/>
    <cellStyle name="Euro 13" xfId="6537"/>
    <cellStyle name="Euro 13 2" xfId="6538"/>
    <cellStyle name="Euro 13 2 2" xfId="6539"/>
    <cellStyle name="Euro 13 3" xfId="6540"/>
    <cellStyle name="Euro 13 3 2" xfId="6541"/>
    <cellStyle name="Euro 13 4" xfId="6542"/>
    <cellStyle name="Euro 13 5" xfId="6543"/>
    <cellStyle name="Euro 14" xfId="6544"/>
    <cellStyle name="Euro 14 2" xfId="6545"/>
    <cellStyle name="Euro 14 2 2" xfId="6546"/>
    <cellStyle name="Euro 14 3" xfId="6547"/>
    <cellStyle name="Euro 14 3 2" xfId="6548"/>
    <cellStyle name="Euro 14 4" xfId="6549"/>
    <cellStyle name="Euro 14 5" xfId="6550"/>
    <cellStyle name="Euro 15" xfId="6551"/>
    <cellStyle name="Euro 15 2" xfId="6552"/>
    <cellStyle name="Euro 15 2 2" xfId="6553"/>
    <cellStyle name="Euro 15 3" xfId="6554"/>
    <cellStyle name="Euro 15 3 2" xfId="6555"/>
    <cellStyle name="Euro 15 4" xfId="6556"/>
    <cellStyle name="Euro 15 5" xfId="6557"/>
    <cellStyle name="Euro 16" xfId="6558"/>
    <cellStyle name="Euro 16 2" xfId="6559"/>
    <cellStyle name="Euro 16 2 2" xfId="6560"/>
    <cellStyle name="Euro 16 3" xfId="6561"/>
    <cellStyle name="Euro 16 3 2" xfId="6562"/>
    <cellStyle name="Euro 16 4" xfId="6563"/>
    <cellStyle name="Euro 16 5" xfId="6564"/>
    <cellStyle name="Euro 17" xfId="6565"/>
    <cellStyle name="Euro 17 2" xfId="6566"/>
    <cellStyle name="Euro 17 2 2" xfId="6567"/>
    <cellStyle name="Euro 17 3" xfId="6568"/>
    <cellStyle name="Euro 17 3 2" xfId="6569"/>
    <cellStyle name="Euro 17 4" xfId="6570"/>
    <cellStyle name="Euro 17 5" xfId="6571"/>
    <cellStyle name="Euro 18" xfId="6572"/>
    <cellStyle name="Euro 18 2" xfId="6573"/>
    <cellStyle name="Euro 18 2 2" xfId="6574"/>
    <cellStyle name="Euro 18 3" xfId="6575"/>
    <cellStyle name="Euro 18 3 2" xfId="6576"/>
    <cellStyle name="Euro 18 4" xfId="6577"/>
    <cellStyle name="Euro 18 5" xfId="6578"/>
    <cellStyle name="Euro 19" xfId="6579"/>
    <cellStyle name="Euro 19 2" xfId="6580"/>
    <cellStyle name="Euro 19 2 2" xfId="6581"/>
    <cellStyle name="Euro 19 3" xfId="6582"/>
    <cellStyle name="Euro 19 3 2" xfId="6583"/>
    <cellStyle name="Euro 19 4" xfId="6584"/>
    <cellStyle name="Euro 19 5" xfId="6585"/>
    <cellStyle name="Euro 2" xfId="656"/>
    <cellStyle name="Euro 2 2" xfId="6586"/>
    <cellStyle name="Euro 2 2 2" xfId="6587"/>
    <cellStyle name="Euro 2 3" xfId="6588"/>
    <cellStyle name="Euro 2 3 2" xfId="6589"/>
    <cellStyle name="Euro 2 4" xfId="6590"/>
    <cellStyle name="Euro 2 5" xfId="6591"/>
    <cellStyle name="Euro 20" xfId="6592"/>
    <cellStyle name="Euro 20 2" xfId="6593"/>
    <cellStyle name="Euro 20 2 2" xfId="6594"/>
    <cellStyle name="Euro 20 3" xfId="6595"/>
    <cellStyle name="Euro 20 3 2" xfId="6596"/>
    <cellStyle name="Euro 20 4" xfId="6597"/>
    <cellStyle name="Euro 20 5" xfId="6598"/>
    <cellStyle name="Euro 21" xfId="6599"/>
    <cellStyle name="Euro 21 2" xfId="6600"/>
    <cellStyle name="Euro 21 2 2" xfId="6601"/>
    <cellStyle name="Euro 21 3" xfId="6602"/>
    <cellStyle name="Euro 21 3 2" xfId="6603"/>
    <cellStyle name="Euro 21 4" xfId="6604"/>
    <cellStyle name="Euro 21 5" xfId="6605"/>
    <cellStyle name="Euro 22" xfId="6606"/>
    <cellStyle name="Euro 3" xfId="6607"/>
    <cellStyle name="Euro 3 2" xfId="6608"/>
    <cellStyle name="Euro 3 2 2" xfId="6609"/>
    <cellStyle name="Euro 3 3" xfId="6610"/>
    <cellStyle name="Euro 3 3 2" xfId="6611"/>
    <cellStyle name="Euro 3 4" xfId="6612"/>
    <cellStyle name="Euro 3 5" xfId="6613"/>
    <cellStyle name="Euro 4" xfId="6614"/>
    <cellStyle name="Euro 4 2" xfId="6615"/>
    <cellStyle name="Euro 4 2 2" xfId="6616"/>
    <cellStyle name="Euro 4 3" xfId="6617"/>
    <cellStyle name="Euro 4 3 2" xfId="6618"/>
    <cellStyle name="Euro 4 4" xfId="6619"/>
    <cellStyle name="Euro 4 5" xfId="6620"/>
    <cellStyle name="Euro 5" xfId="6621"/>
    <cellStyle name="Euro 5 2" xfId="6622"/>
    <cellStyle name="Euro 5 2 2" xfId="6623"/>
    <cellStyle name="Euro 5 3" xfId="6624"/>
    <cellStyle name="Euro 5 3 2" xfId="6625"/>
    <cellStyle name="Euro 5 4" xfId="6626"/>
    <cellStyle name="Euro 5 5" xfId="6627"/>
    <cellStyle name="Euro 6" xfId="6628"/>
    <cellStyle name="Euro 6 2" xfId="6629"/>
    <cellStyle name="Euro 6 2 2" xfId="6630"/>
    <cellStyle name="Euro 6 3" xfId="6631"/>
    <cellStyle name="Euro 6 3 2" xfId="6632"/>
    <cellStyle name="Euro 6 4" xfId="6633"/>
    <cellStyle name="Euro 6 5" xfId="6634"/>
    <cellStyle name="Euro 7" xfId="6635"/>
    <cellStyle name="Euro 7 2" xfId="6636"/>
    <cellStyle name="Euro 7 2 2" xfId="6637"/>
    <cellStyle name="Euro 7 3" xfId="6638"/>
    <cellStyle name="Euro 7 3 2" xfId="6639"/>
    <cellStyle name="Euro 7 4" xfId="6640"/>
    <cellStyle name="Euro 7 5" xfId="6641"/>
    <cellStyle name="Euro 8" xfId="6642"/>
    <cellStyle name="Euro 8 2" xfId="6643"/>
    <cellStyle name="Euro 8 2 2" xfId="6644"/>
    <cellStyle name="Euro 8 3" xfId="6645"/>
    <cellStyle name="Euro 8 3 2" xfId="6646"/>
    <cellStyle name="Euro 8 4" xfId="6647"/>
    <cellStyle name="Euro 8 5" xfId="6648"/>
    <cellStyle name="Euro 9" xfId="6649"/>
    <cellStyle name="Euro 9 2" xfId="6650"/>
    <cellStyle name="Euro 9 2 2" xfId="6651"/>
    <cellStyle name="Euro 9 3" xfId="6652"/>
    <cellStyle name="Euro 9 3 2" xfId="6653"/>
    <cellStyle name="Euro 9 4" xfId="6654"/>
    <cellStyle name="Euro 9 5" xfId="6655"/>
    <cellStyle name="Euro_4. Fab_Contas a Receber" xfId="6656"/>
    <cellStyle name="Excel Built-in Normal" xfId="6657"/>
    <cellStyle name="Excel Built-in Normal 2" xfId="6658"/>
    <cellStyle name="Excel Built-in Normal 3" xfId="6659"/>
    <cellStyle name="Excel Built-in Normal 4" xfId="6660"/>
    <cellStyle name="Excel Built-in Normal 5" xfId="6661"/>
    <cellStyle name="Explanatory Text" xfId="657"/>
    <cellStyle name="Explanatory Text 2" xfId="6662"/>
    <cellStyle name="Explanatory Text 3" xfId="6663"/>
    <cellStyle name="Explanatory Text 4" xfId="6664"/>
    <cellStyle name="F2" xfId="6665"/>
    <cellStyle name="F3" xfId="6666"/>
    <cellStyle name="F4" xfId="6667"/>
    <cellStyle name="F5" xfId="6668"/>
    <cellStyle name="F6" xfId="6669"/>
    <cellStyle name="F7" xfId="6670"/>
    <cellStyle name="F8" xfId="6671"/>
    <cellStyle name="Fijo" xfId="6672"/>
    <cellStyle name="Financiero" xfId="6673"/>
    <cellStyle name="Fixed" xfId="2201"/>
    <cellStyle name="Fixo" xfId="658"/>
    <cellStyle name="Good" xfId="659"/>
    <cellStyle name="Good 2" xfId="6674"/>
    <cellStyle name="Good 3" xfId="6675"/>
    <cellStyle name="Good 4" xfId="6676"/>
    <cellStyle name="Grey" xfId="6677"/>
    <cellStyle name="Grey 2" xfId="6678"/>
    <cellStyle name="Grey 3" xfId="6679"/>
    <cellStyle name="Grey 4" xfId="6680"/>
    <cellStyle name="Grupo" xfId="6681"/>
    <cellStyle name="Grupo 2" xfId="6682"/>
    <cellStyle name="Grupo 2 2" xfId="6683"/>
    <cellStyle name="Grupo 3" xfId="6684"/>
    <cellStyle name="Header" xfId="2202"/>
    <cellStyle name="Header1" xfId="6685"/>
    <cellStyle name="Header1 2" xfId="6686"/>
    <cellStyle name="Header1 3" xfId="6687"/>
    <cellStyle name="Header1 4" xfId="6688"/>
    <cellStyle name="Header1 5" xfId="6689"/>
    <cellStyle name="Header2" xfId="6690"/>
    <cellStyle name="Header2 2" xfId="6691"/>
    <cellStyle name="Header2 2 2" xfId="6692"/>
    <cellStyle name="Header2 2 2 2" xfId="6693"/>
    <cellStyle name="Header2 2 2 2 2" xfId="6694"/>
    <cellStyle name="Header2 2 2 3" xfId="6695"/>
    <cellStyle name="Header2 2 2 3 2" xfId="6696"/>
    <cellStyle name="Header2 2 2 4" xfId="6697"/>
    <cellStyle name="Header2 2 2 4 2" xfId="6698"/>
    <cellStyle name="Header2 2 3" xfId="6699"/>
    <cellStyle name="Header2 2 3 2" xfId="6700"/>
    <cellStyle name="Header2 2 3 2 2" xfId="6701"/>
    <cellStyle name="Header2 2 3 3" xfId="6702"/>
    <cellStyle name="Header2 2 3 3 2" xfId="6703"/>
    <cellStyle name="Header2 2 3 4" xfId="6704"/>
    <cellStyle name="Header2 2 3 4 2" xfId="6705"/>
    <cellStyle name="Header2 2 4" xfId="6706"/>
    <cellStyle name="Header2 2 4 2" xfId="6707"/>
    <cellStyle name="Header2 2 5" xfId="6708"/>
    <cellStyle name="Header2 2 5 2" xfId="6709"/>
    <cellStyle name="Header2 2 6" xfId="6710"/>
    <cellStyle name="Header2 2 6 2" xfId="6711"/>
    <cellStyle name="Header2 3" xfId="6712"/>
    <cellStyle name="Header2 3 2" xfId="6713"/>
    <cellStyle name="Header2 3 2 2" xfId="6714"/>
    <cellStyle name="Header2 3 3" xfId="6715"/>
    <cellStyle name="Header2 3 3 2" xfId="6716"/>
    <cellStyle name="Header2 3 4" xfId="6717"/>
    <cellStyle name="Header2 3 4 2" xfId="6718"/>
    <cellStyle name="Header2 4" xfId="6719"/>
    <cellStyle name="Header2 4 2" xfId="6720"/>
    <cellStyle name="Header2 4 2 2" xfId="6721"/>
    <cellStyle name="Header2 4 3" xfId="6722"/>
    <cellStyle name="Header2 4 3 2" xfId="6723"/>
    <cellStyle name="Header2 4 4" xfId="6724"/>
    <cellStyle name="Header2 4 4 2" xfId="6725"/>
    <cellStyle name="Header2 5" xfId="6726"/>
    <cellStyle name="Header2 5 2" xfId="6727"/>
    <cellStyle name="Header2 5 2 2" xfId="6728"/>
    <cellStyle name="Header2 5 3" xfId="6729"/>
    <cellStyle name="Header2 5 3 2" xfId="6730"/>
    <cellStyle name="Header2 5 4" xfId="6731"/>
    <cellStyle name="Header2 5 4 2" xfId="6732"/>
    <cellStyle name="Header2 6" xfId="6733"/>
    <cellStyle name="Header2 6 2" xfId="6734"/>
    <cellStyle name="Header2 7" xfId="6735"/>
    <cellStyle name="Header2 7 2" xfId="6736"/>
    <cellStyle name="Header2 8" xfId="6737"/>
    <cellStyle name="Header2 8 2" xfId="6738"/>
    <cellStyle name="Heading 1" xfId="660"/>
    <cellStyle name="Heading 1 2" xfId="6739"/>
    <cellStyle name="Heading 1 3" xfId="6740"/>
    <cellStyle name="Heading 1 4" xfId="6741"/>
    <cellStyle name="Heading 2" xfId="661"/>
    <cellStyle name="Heading 2 2" xfId="6742"/>
    <cellStyle name="Heading 2 3" xfId="6743"/>
    <cellStyle name="Heading 2 4" xfId="6744"/>
    <cellStyle name="Heading 3" xfId="662"/>
    <cellStyle name="Heading 3 2" xfId="6745"/>
    <cellStyle name="Heading 3 3" xfId="6746"/>
    <cellStyle name="Heading 3 4" xfId="6747"/>
    <cellStyle name="Heading 4" xfId="663"/>
    <cellStyle name="Heading 4 2" xfId="6748"/>
    <cellStyle name="Heading 4 3" xfId="6749"/>
    <cellStyle name="Heading 4 4" xfId="6750"/>
    <cellStyle name="Hiperlink 2" xfId="664"/>
    <cellStyle name="Hiperlink 3" xfId="6751"/>
    <cellStyle name="Hiperlink 4" xfId="6752"/>
    <cellStyle name="Hyperlink 2" xfId="665"/>
    <cellStyle name="Hyperlink 2 2" xfId="666"/>
    <cellStyle name="Hyperlink 2 3" xfId="6753"/>
    <cellStyle name="Hyperlink 2 4" xfId="6754"/>
    <cellStyle name="Hyperlink 2_APURAÇÃO DA MARGEM" xfId="667"/>
    <cellStyle name="Hyperlink 3" xfId="2203"/>
    <cellStyle name="Hyperlink 3 2" xfId="2204"/>
    <cellStyle name="Hyperlink 4" xfId="2205"/>
    <cellStyle name="Hyperlink 4 2" xfId="2206"/>
    <cellStyle name="Hyperlink 4 3" xfId="6755"/>
    <cellStyle name="Hyperlink 5" xfId="2207"/>
    <cellStyle name="Incorreto 10" xfId="668"/>
    <cellStyle name="Incorreto 11" xfId="669"/>
    <cellStyle name="Incorreto 12" xfId="670"/>
    <cellStyle name="Incorreto 13" xfId="6756"/>
    <cellStyle name="Incorreto 14" xfId="6757"/>
    <cellStyle name="Incorreto 15" xfId="6758"/>
    <cellStyle name="Incorreto 16" xfId="6759"/>
    <cellStyle name="Incorreto 2" xfId="671"/>
    <cellStyle name="Incorreto 2 2" xfId="672"/>
    <cellStyle name="Incorreto 2 3" xfId="673"/>
    <cellStyle name="Incorreto 2 4" xfId="674"/>
    <cellStyle name="Incorreto 2 5" xfId="675"/>
    <cellStyle name="Incorreto 2 6" xfId="676"/>
    <cellStyle name="Incorreto 3" xfId="677"/>
    <cellStyle name="Incorreto 4" xfId="678"/>
    <cellStyle name="Incorreto 5" xfId="679"/>
    <cellStyle name="Incorreto 6" xfId="680"/>
    <cellStyle name="Incorreto 7" xfId="681"/>
    <cellStyle name="Incorreto 8" xfId="682"/>
    <cellStyle name="Incorreto 9" xfId="683"/>
    <cellStyle name="Indentado" xfId="684"/>
    <cellStyle name="Indentado 2" xfId="6760"/>
    <cellStyle name="indice" xfId="6761"/>
    <cellStyle name="Input" xfId="685"/>
    <cellStyle name="Input  1o.nível" xfId="6762"/>
    <cellStyle name="Input [yellow]" xfId="6763"/>
    <cellStyle name="Input [yellow] 2" xfId="6764"/>
    <cellStyle name="Input [yellow] 2 2" xfId="6765"/>
    <cellStyle name="Input [yellow] 2 2 2" xfId="6766"/>
    <cellStyle name="Input [yellow] 2 2 2 2" xfId="6767"/>
    <cellStyle name="Input [yellow] 2 2 3" xfId="6768"/>
    <cellStyle name="Input [yellow] 2 2 3 2" xfId="6769"/>
    <cellStyle name="Input [yellow] 2 2 4" xfId="6770"/>
    <cellStyle name="Input [yellow] 2 2 4 2" xfId="6771"/>
    <cellStyle name="Input [yellow] 2 2 5" xfId="6772"/>
    <cellStyle name="Input [yellow] 2 2 5 2" xfId="6773"/>
    <cellStyle name="Input [yellow] 2 2 6" xfId="6774"/>
    <cellStyle name="Input [yellow] 2 3" xfId="6775"/>
    <cellStyle name="Input [yellow] 2 3 2" xfId="6776"/>
    <cellStyle name="Input [yellow] 2 3 2 2" xfId="6777"/>
    <cellStyle name="Input [yellow] 2 3 3" xfId="6778"/>
    <cellStyle name="Input [yellow] 2 3 3 2" xfId="6779"/>
    <cellStyle name="Input [yellow] 2 3 4" xfId="6780"/>
    <cellStyle name="Input [yellow] 2 3 4 2" xfId="6781"/>
    <cellStyle name="Input [yellow] 2 3 5" xfId="6782"/>
    <cellStyle name="Input [yellow] 2 3 5 2" xfId="6783"/>
    <cellStyle name="Input [yellow] 2 3 6" xfId="6784"/>
    <cellStyle name="Input [yellow] 2 4" xfId="6785"/>
    <cellStyle name="Input [yellow] 2 4 2" xfId="6786"/>
    <cellStyle name="Input [yellow] 2 5" xfId="6787"/>
    <cellStyle name="Input [yellow] 2 5 2" xfId="6788"/>
    <cellStyle name="Input [yellow] 2 6" xfId="6789"/>
    <cellStyle name="Input [yellow] 2 6 2" xfId="6790"/>
    <cellStyle name="Input [yellow] 2 7" xfId="6791"/>
    <cellStyle name="Input [yellow] 2 7 2" xfId="6792"/>
    <cellStyle name="Input [yellow] 2 8" xfId="6793"/>
    <cellStyle name="Input [yellow] 3" xfId="6794"/>
    <cellStyle name="Input [yellow] 3 2" xfId="6795"/>
    <cellStyle name="Input [yellow] 3 2 2" xfId="6796"/>
    <cellStyle name="Input [yellow] 3 3" xfId="6797"/>
    <cellStyle name="Input [yellow] 3 3 2" xfId="6798"/>
    <cellStyle name="Input [yellow] 3 4" xfId="6799"/>
    <cellStyle name="Input [yellow] 3 4 2" xfId="6800"/>
    <cellStyle name="Input [yellow] 3 5" xfId="6801"/>
    <cellStyle name="Input [yellow] 3 5 2" xfId="6802"/>
    <cellStyle name="Input [yellow] 3 6" xfId="6803"/>
    <cellStyle name="Input [yellow] 4" xfId="6804"/>
    <cellStyle name="Input [yellow] 4 2" xfId="6805"/>
    <cellStyle name="Input [yellow] 4 2 2" xfId="6806"/>
    <cellStyle name="Input [yellow] 4 3" xfId="6807"/>
    <cellStyle name="Input [yellow] 4 3 2" xfId="6808"/>
    <cellStyle name="Input [yellow] 4 4" xfId="6809"/>
    <cellStyle name="Input [yellow] 4 4 2" xfId="6810"/>
    <cellStyle name="Input [yellow] 4 5" xfId="6811"/>
    <cellStyle name="Input [yellow] 4 5 2" xfId="6812"/>
    <cellStyle name="Input [yellow] 4 6" xfId="6813"/>
    <cellStyle name="Input [yellow] 5" xfId="6814"/>
    <cellStyle name="Input [yellow] 5 2" xfId="6815"/>
    <cellStyle name="Input [yellow] 6" xfId="6816"/>
    <cellStyle name="Input [yellow] 6 2" xfId="6817"/>
    <cellStyle name="Input [yellow] 7" xfId="6818"/>
    <cellStyle name="Input [yellow] 7 2" xfId="6819"/>
    <cellStyle name="Input [yellow] 8" xfId="6820"/>
    <cellStyle name="Input [yellow] 8 2" xfId="6821"/>
    <cellStyle name="Input [yellow] 9" xfId="6822"/>
    <cellStyle name="Input 10" xfId="6823"/>
    <cellStyle name="Input 10 2" xfId="6824"/>
    <cellStyle name="Input 11" xfId="6825"/>
    <cellStyle name="Input 11 2" xfId="6826"/>
    <cellStyle name="Input 12" xfId="6827"/>
    <cellStyle name="Input 12 2" xfId="6828"/>
    <cellStyle name="Input 13" xfId="6829"/>
    <cellStyle name="Input 13 2" xfId="6830"/>
    <cellStyle name="Input 2" xfId="6831"/>
    <cellStyle name="Input 2 2" xfId="6832"/>
    <cellStyle name="Input 2 2 2" xfId="6833"/>
    <cellStyle name="Input 2 3" xfId="6834"/>
    <cellStyle name="Input 2 3 2" xfId="6835"/>
    <cellStyle name="Input 2 4" xfId="6836"/>
    <cellStyle name="Input 2 4 2" xfId="6837"/>
    <cellStyle name="Input 3" xfId="6838"/>
    <cellStyle name="Input 3 2" xfId="6839"/>
    <cellStyle name="Input 3 2 2" xfId="6840"/>
    <cellStyle name="Input 3 3" xfId="6841"/>
    <cellStyle name="Input 3 3 2" xfId="6842"/>
    <cellStyle name="Input 3 4" xfId="6843"/>
    <cellStyle name="Input 3 4 2" xfId="6844"/>
    <cellStyle name="Input 4" xfId="6845"/>
    <cellStyle name="Input 4 2" xfId="6846"/>
    <cellStyle name="Input 4 2 2" xfId="6847"/>
    <cellStyle name="Input 4 3" xfId="6848"/>
    <cellStyle name="Input 4 3 2" xfId="6849"/>
    <cellStyle name="Input 4 4" xfId="6850"/>
    <cellStyle name="Input 4 4 2" xfId="6851"/>
    <cellStyle name="Input 5" xfId="6852"/>
    <cellStyle name="Input 5 2" xfId="6853"/>
    <cellStyle name="Input 5 2 2" xfId="6854"/>
    <cellStyle name="Input 5 3" xfId="6855"/>
    <cellStyle name="Input 5 3 2" xfId="6856"/>
    <cellStyle name="Input 5 4" xfId="6857"/>
    <cellStyle name="Input 5 4 2" xfId="6858"/>
    <cellStyle name="Input 6" xfId="6859"/>
    <cellStyle name="Input 6 2" xfId="6860"/>
    <cellStyle name="Input 6 2 2" xfId="6861"/>
    <cellStyle name="Input 6 3" xfId="6862"/>
    <cellStyle name="Input 6 3 2" xfId="6863"/>
    <cellStyle name="Input 6 4" xfId="6864"/>
    <cellStyle name="Input 6 4 2" xfId="6865"/>
    <cellStyle name="Input 7" xfId="6866"/>
    <cellStyle name="Input 7 2" xfId="6867"/>
    <cellStyle name="Input 7 2 2" xfId="6868"/>
    <cellStyle name="Input 7 3" xfId="6869"/>
    <cellStyle name="Input 7 3 2" xfId="6870"/>
    <cellStyle name="Input 7 4" xfId="6871"/>
    <cellStyle name="Input 7 4 2" xfId="6872"/>
    <cellStyle name="Input 8" xfId="6873"/>
    <cellStyle name="Input 8 2" xfId="6874"/>
    <cellStyle name="Input 9" xfId="6875"/>
    <cellStyle name="Input 9 2" xfId="6876"/>
    <cellStyle name="Input Label" xfId="2804"/>
    <cellStyle name="Input totais  2o.nível" xfId="6877"/>
    <cellStyle name="InputBlueFont" xfId="6878"/>
    <cellStyle name="InputBlueFont 2" xfId="6879"/>
    <cellStyle name="InputBlueFont 3" xfId="6880"/>
    <cellStyle name="Inputs" xfId="2208"/>
    <cellStyle name="Inputs 2" xfId="6881"/>
    <cellStyle name="ins:prd" xfId="686"/>
    <cellStyle name="KASS01" xfId="6882"/>
    <cellStyle name="la22" xfId="687"/>
    <cellStyle name="la22 10" xfId="688"/>
    <cellStyle name="la22 10 10" xfId="6883"/>
    <cellStyle name="la22 10 2" xfId="2209"/>
    <cellStyle name="la22 10 2 2" xfId="6884"/>
    <cellStyle name="la22 10 2 2 2" xfId="6885"/>
    <cellStyle name="la22 10 2 2 2 2" xfId="6886"/>
    <cellStyle name="la22 10 2 2 2 2 2" xfId="6887"/>
    <cellStyle name="la22 10 2 2 2 3" xfId="6888"/>
    <cellStyle name="la22 10 2 2 2 3 2" xfId="6889"/>
    <cellStyle name="la22 10 2 2 2 4" xfId="6890"/>
    <cellStyle name="la22 10 2 2 2 4 2" xfId="6891"/>
    <cellStyle name="la22 10 2 2 2 5" xfId="6892"/>
    <cellStyle name="la22 10 2 2 2 5 2" xfId="6893"/>
    <cellStyle name="la22 10 2 2 2 6" xfId="6894"/>
    <cellStyle name="la22 10 2 2 3" xfId="6895"/>
    <cellStyle name="la22 10 2 2 3 2" xfId="6896"/>
    <cellStyle name="la22 10 2 2 3 2 2" xfId="6897"/>
    <cellStyle name="la22 10 2 2 3 3" xfId="6898"/>
    <cellStyle name="la22 10 2 2 3 3 2" xfId="6899"/>
    <cellStyle name="la22 10 2 2 3 4" xfId="6900"/>
    <cellStyle name="la22 10 2 2 3 4 2" xfId="6901"/>
    <cellStyle name="la22 10 2 2 3 5" xfId="6902"/>
    <cellStyle name="la22 10 2 2 3 5 2" xfId="6903"/>
    <cellStyle name="la22 10 2 2 3 6" xfId="6904"/>
    <cellStyle name="la22 10 2 2 4" xfId="6905"/>
    <cellStyle name="la22 10 2 2 4 2" xfId="6906"/>
    <cellStyle name="la22 10 2 2 5" xfId="6907"/>
    <cellStyle name="la22 10 2 2 5 2" xfId="6908"/>
    <cellStyle name="la22 10 2 2 6" xfId="6909"/>
    <cellStyle name="la22 10 2 2 6 2" xfId="6910"/>
    <cellStyle name="la22 10 2 2 7" xfId="6911"/>
    <cellStyle name="la22 10 2 2 7 2" xfId="6912"/>
    <cellStyle name="la22 10 2 2 8" xfId="6913"/>
    <cellStyle name="la22 10 2 3" xfId="6914"/>
    <cellStyle name="la22 10 2 3 2" xfId="6915"/>
    <cellStyle name="la22 10 2 3 2 2" xfId="6916"/>
    <cellStyle name="la22 10 2 3 3" xfId="6917"/>
    <cellStyle name="la22 10 2 3 3 2" xfId="6918"/>
    <cellStyle name="la22 10 2 3 4" xfId="6919"/>
    <cellStyle name="la22 10 2 3 4 2" xfId="6920"/>
    <cellStyle name="la22 10 2 3 5" xfId="6921"/>
    <cellStyle name="la22 10 2 3 5 2" xfId="6922"/>
    <cellStyle name="la22 10 2 3 6" xfId="6923"/>
    <cellStyle name="la22 10 2 4" xfId="6924"/>
    <cellStyle name="la22 10 2 4 2" xfId="6925"/>
    <cellStyle name="la22 10 2 4 2 2" xfId="6926"/>
    <cellStyle name="la22 10 2 4 3" xfId="6927"/>
    <cellStyle name="la22 10 2 4 3 2" xfId="6928"/>
    <cellStyle name="la22 10 2 4 4" xfId="6929"/>
    <cellStyle name="la22 10 2 4 4 2" xfId="6930"/>
    <cellStyle name="la22 10 2 4 5" xfId="6931"/>
    <cellStyle name="la22 10 2 4 5 2" xfId="6932"/>
    <cellStyle name="la22 10 2 4 6" xfId="6933"/>
    <cellStyle name="la22 10 2 5" xfId="6934"/>
    <cellStyle name="la22 10 2 5 2" xfId="6935"/>
    <cellStyle name="la22 10 2 6" xfId="6936"/>
    <cellStyle name="la22 10 2 6 2" xfId="6937"/>
    <cellStyle name="la22 10 2 7" xfId="6938"/>
    <cellStyle name="la22 10 2 7 2" xfId="6939"/>
    <cellStyle name="la22 10 2 8" xfId="6940"/>
    <cellStyle name="la22 10 2 8 2" xfId="6941"/>
    <cellStyle name="la22 10 2 9" xfId="6942"/>
    <cellStyle name="la22 10 3" xfId="6943"/>
    <cellStyle name="la22 10 3 2" xfId="6944"/>
    <cellStyle name="la22 10 3 2 2" xfId="6945"/>
    <cellStyle name="la22 10 3 2 2 2" xfId="6946"/>
    <cellStyle name="la22 10 3 2 3" xfId="6947"/>
    <cellStyle name="la22 10 3 2 3 2" xfId="6948"/>
    <cellStyle name="la22 10 3 2 4" xfId="6949"/>
    <cellStyle name="la22 10 3 2 4 2" xfId="6950"/>
    <cellStyle name="la22 10 3 2 5" xfId="6951"/>
    <cellStyle name="la22 10 3 2 5 2" xfId="6952"/>
    <cellStyle name="la22 10 3 2 6" xfId="6953"/>
    <cellStyle name="la22 10 3 3" xfId="6954"/>
    <cellStyle name="la22 10 3 3 2" xfId="6955"/>
    <cellStyle name="la22 10 3 3 2 2" xfId="6956"/>
    <cellStyle name="la22 10 3 3 3" xfId="6957"/>
    <cellStyle name="la22 10 3 3 3 2" xfId="6958"/>
    <cellStyle name="la22 10 3 3 4" xfId="6959"/>
    <cellStyle name="la22 10 3 3 4 2" xfId="6960"/>
    <cellStyle name="la22 10 3 3 5" xfId="6961"/>
    <cellStyle name="la22 10 3 3 5 2" xfId="6962"/>
    <cellStyle name="la22 10 3 3 6" xfId="6963"/>
    <cellStyle name="la22 10 3 4" xfId="6964"/>
    <cellStyle name="la22 10 3 4 2" xfId="6965"/>
    <cellStyle name="la22 10 3 5" xfId="6966"/>
    <cellStyle name="la22 10 3 5 2" xfId="6967"/>
    <cellStyle name="la22 10 3 6" xfId="6968"/>
    <cellStyle name="la22 10 3 6 2" xfId="6969"/>
    <cellStyle name="la22 10 3 7" xfId="6970"/>
    <cellStyle name="la22 10 3 7 2" xfId="6971"/>
    <cellStyle name="la22 10 3 8" xfId="6972"/>
    <cellStyle name="la22 10 4" xfId="6973"/>
    <cellStyle name="la22 10 4 2" xfId="6974"/>
    <cellStyle name="la22 10 4 2 2" xfId="6975"/>
    <cellStyle name="la22 10 4 3" xfId="6976"/>
    <cellStyle name="la22 10 4 3 2" xfId="6977"/>
    <cellStyle name="la22 10 4 4" xfId="6978"/>
    <cellStyle name="la22 10 4 4 2" xfId="6979"/>
    <cellStyle name="la22 10 4 5" xfId="6980"/>
    <cellStyle name="la22 10 4 5 2" xfId="6981"/>
    <cellStyle name="la22 10 4 6" xfId="6982"/>
    <cellStyle name="la22 10 5" xfId="6983"/>
    <cellStyle name="la22 10 5 2" xfId="6984"/>
    <cellStyle name="la22 10 5 2 2" xfId="6985"/>
    <cellStyle name="la22 10 5 3" xfId="6986"/>
    <cellStyle name="la22 10 5 3 2" xfId="6987"/>
    <cellStyle name="la22 10 5 4" xfId="6988"/>
    <cellStyle name="la22 10 5 4 2" xfId="6989"/>
    <cellStyle name="la22 10 5 5" xfId="6990"/>
    <cellStyle name="la22 10 5 5 2" xfId="6991"/>
    <cellStyle name="la22 10 5 6" xfId="6992"/>
    <cellStyle name="la22 10 6" xfId="6993"/>
    <cellStyle name="la22 10 6 2" xfId="6994"/>
    <cellStyle name="la22 10 7" xfId="6995"/>
    <cellStyle name="la22 10 7 2" xfId="6996"/>
    <cellStyle name="la22 10 8" xfId="6997"/>
    <cellStyle name="la22 10 8 2" xfId="6998"/>
    <cellStyle name="la22 10 9" xfId="6999"/>
    <cellStyle name="la22 10 9 2" xfId="7000"/>
    <cellStyle name="la22 11" xfId="689"/>
    <cellStyle name="la22 11 2" xfId="7001"/>
    <cellStyle name="la22 11 2 2" xfId="7002"/>
    <cellStyle name="la22 11 2 2 2" xfId="7003"/>
    <cellStyle name="la22 11 2 2 2 2" xfId="7004"/>
    <cellStyle name="la22 11 2 2 3" xfId="7005"/>
    <cellStyle name="la22 11 2 2 3 2" xfId="7006"/>
    <cellStyle name="la22 11 2 2 4" xfId="7007"/>
    <cellStyle name="la22 11 2 2 4 2" xfId="7008"/>
    <cellStyle name="la22 11 2 2 5" xfId="7009"/>
    <cellStyle name="la22 11 2 2 5 2" xfId="7010"/>
    <cellStyle name="la22 11 2 2 6" xfId="7011"/>
    <cellStyle name="la22 11 2 3" xfId="7012"/>
    <cellStyle name="la22 11 2 3 2" xfId="7013"/>
    <cellStyle name="la22 11 2 3 2 2" xfId="7014"/>
    <cellStyle name="la22 11 2 3 3" xfId="7015"/>
    <cellStyle name="la22 11 2 3 3 2" xfId="7016"/>
    <cellStyle name="la22 11 2 3 4" xfId="7017"/>
    <cellStyle name="la22 11 2 3 4 2" xfId="7018"/>
    <cellStyle name="la22 11 2 3 5" xfId="7019"/>
    <cellStyle name="la22 11 2 3 5 2" xfId="7020"/>
    <cellStyle name="la22 11 2 3 6" xfId="7021"/>
    <cellStyle name="la22 11 2 4" xfId="7022"/>
    <cellStyle name="la22 11 2 4 2" xfId="7023"/>
    <cellStyle name="la22 11 2 5" xfId="7024"/>
    <cellStyle name="la22 11 2 5 2" xfId="7025"/>
    <cellStyle name="la22 11 2 6" xfId="7026"/>
    <cellStyle name="la22 11 2 6 2" xfId="7027"/>
    <cellStyle name="la22 11 2 7" xfId="7028"/>
    <cellStyle name="la22 11 2 7 2" xfId="7029"/>
    <cellStyle name="la22 11 2 8" xfId="7030"/>
    <cellStyle name="la22 11 3" xfId="7031"/>
    <cellStyle name="la22 11 3 2" xfId="7032"/>
    <cellStyle name="la22 11 3 2 2" xfId="7033"/>
    <cellStyle name="la22 11 3 3" xfId="7034"/>
    <cellStyle name="la22 11 3 3 2" xfId="7035"/>
    <cellStyle name="la22 11 3 4" xfId="7036"/>
    <cellStyle name="la22 11 3 4 2" xfId="7037"/>
    <cellStyle name="la22 11 3 5" xfId="7038"/>
    <cellStyle name="la22 11 3 5 2" xfId="7039"/>
    <cellStyle name="la22 11 3 6" xfId="7040"/>
    <cellStyle name="la22 11 4" xfId="7041"/>
    <cellStyle name="la22 11 4 2" xfId="7042"/>
    <cellStyle name="la22 11 4 2 2" xfId="7043"/>
    <cellStyle name="la22 11 4 3" xfId="7044"/>
    <cellStyle name="la22 11 4 3 2" xfId="7045"/>
    <cellStyle name="la22 11 4 4" xfId="7046"/>
    <cellStyle name="la22 11 4 4 2" xfId="7047"/>
    <cellStyle name="la22 11 4 5" xfId="7048"/>
    <cellStyle name="la22 11 4 5 2" xfId="7049"/>
    <cellStyle name="la22 11 4 6" xfId="7050"/>
    <cellStyle name="la22 11 5" xfId="7051"/>
    <cellStyle name="la22 11 5 2" xfId="7052"/>
    <cellStyle name="la22 11 6" xfId="7053"/>
    <cellStyle name="la22 11 6 2" xfId="7054"/>
    <cellStyle name="la22 11 7" xfId="7055"/>
    <cellStyle name="la22 11 7 2" xfId="7056"/>
    <cellStyle name="la22 11 8" xfId="7057"/>
    <cellStyle name="la22 11 8 2" xfId="7058"/>
    <cellStyle name="la22 11 9" xfId="7059"/>
    <cellStyle name="la22 12" xfId="690"/>
    <cellStyle name="la22 12 2" xfId="7060"/>
    <cellStyle name="la22 12 2 2" xfId="7061"/>
    <cellStyle name="la22 12 2 2 2" xfId="7062"/>
    <cellStyle name="la22 12 2 2 2 2" xfId="7063"/>
    <cellStyle name="la22 12 2 2 3" xfId="7064"/>
    <cellStyle name="la22 12 2 2 3 2" xfId="7065"/>
    <cellStyle name="la22 12 2 2 4" xfId="7066"/>
    <cellStyle name="la22 12 2 2 4 2" xfId="7067"/>
    <cellStyle name="la22 12 2 2 5" xfId="7068"/>
    <cellStyle name="la22 12 2 2 5 2" xfId="7069"/>
    <cellStyle name="la22 12 2 2 6" xfId="7070"/>
    <cellStyle name="la22 12 2 3" xfId="7071"/>
    <cellStyle name="la22 12 2 3 2" xfId="7072"/>
    <cellStyle name="la22 12 2 3 2 2" xfId="7073"/>
    <cellStyle name="la22 12 2 3 3" xfId="7074"/>
    <cellStyle name="la22 12 2 3 3 2" xfId="7075"/>
    <cellStyle name="la22 12 2 3 4" xfId="7076"/>
    <cellStyle name="la22 12 2 3 4 2" xfId="7077"/>
    <cellStyle name="la22 12 2 3 5" xfId="7078"/>
    <cellStyle name="la22 12 2 3 5 2" xfId="7079"/>
    <cellStyle name="la22 12 2 3 6" xfId="7080"/>
    <cellStyle name="la22 12 2 4" xfId="7081"/>
    <cellStyle name="la22 12 2 4 2" xfId="7082"/>
    <cellStyle name="la22 12 2 5" xfId="7083"/>
    <cellStyle name="la22 12 2 5 2" xfId="7084"/>
    <cellStyle name="la22 12 2 6" xfId="7085"/>
    <cellStyle name="la22 12 2 6 2" xfId="7086"/>
    <cellStyle name="la22 12 2 7" xfId="7087"/>
    <cellStyle name="la22 12 2 7 2" xfId="7088"/>
    <cellStyle name="la22 12 2 8" xfId="7089"/>
    <cellStyle name="la22 12 3" xfId="7090"/>
    <cellStyle name="la22 12 3 2" xfId="7091"/>
    <cellStyle name="la22 12 3 2 2" xfId="7092"/>
    <cellStyle name="la22 12 3 3" xfId="7093"/>
    <cellStyle name="la22 12 3 3 2" xfId="7094"/>
    <cellStyle name="la22 12 3 4" xfId="7095"/>
    <cellStyle name="la22 12 3 4 2" xfId="7096"/>
    <cellStyle name="la22 12 3 5" xfId="7097"/>
    <cellStyle name="la22 12 3 5 2" xfId="7098"/>
    <cellStyle name="la22 12 3 6" xfId="7099"/>
    <cellStyle name="la22 12 4" xfId="7100"/>
    <cellStyle name="la22 12 4 2" xfId="7101"/>
    <cellStyle name="la22 12 4 2 2" xfId="7102"/>
    <cellStyle name="la22 12 4 3" xfId="7103"/>
    <cellStyle name="la22 12 4 3 2" xfId="7104"/>
    <cellStyle name="la22 12 4 4" xfId="7105"/>
    <cellStyle name="la22 12 4 4 2" xfId="7106"/>
    <cellStyle name="la22 12 4 5" xfId="7107"/>
    <cellStyle name="la22 12 4 5 2" xfId="7108"/>
    <cellStyle name="la22 12 4 6" xfId="7109"/>
    <cellStyle name="la22 12 5" xfId="7110"/>
    <cellStyle name="la22 12 5 2" xfId="7111"/>
    <cellStyle name="la22 12 6" xfId="7112"/>
    <cellStyle name="la22 12 6 2" xfId="7113"/>
    <cellStyle name="la22 12 7" xfId="7114"/>
    <cellStyle name="la22 12 7 2" xfId="7115"/>
    <cellStyle name="la22 12 8" xfId="7116"/>
    <cellStyle name="la22 12 8 2" xfId="7117"/>
    <cellStyle name="la22 12 9" xfId="7118"/>
    <cellStyle name="la22 13" xfId="691"/>
    <cellStyle name="la22 13 2" xfId="7119"/>
    <cellStyle name="la22 13 2 2" xfId="7120"/>
    <cellStyle name="la22 13 2 2 2" xfId="7121"/>
    <cellStyle name="la22 13 2 2 2 2" xfId="7122"/>
    <cellStyle name="la22 13 2 2 3" xfId="7123"/>
    <cellStyle name="la22 13 2 2 3 2" xfId="7124"/>
    <cellStyle name="la22 13 2 2 4" xfId="7125"/>
    <cellStyle name="la22 13 2 2 4 2" xfId="7126"/>
    <cellStyle name="la22 13 2 2 5" xfId="7127"/>
    <cellStyle name="la22 13 2 2 5 2" xfId="7128"/>
    <cellStyle name="la22 13 2 2 6" xfId="7129"/>
    <cellStyle name="la22 13 2 3" xfId="7130"/>
    <cellStyle name="la22 13 2 3 2" xfId="7131"/>
    <cellStyle name="la22 13 2 3 2 2" xfId="7132"/>
    <cellStyle name="la22 13 2 3 3" xfId="7133"/>
    <cellStyle name="la22 13 2 3 3 2" xfId="7134"/>
    <cellStyle name="la22 13 2 3 4" xfId="7135"/>
    <cellStyle name="la22 13 2 3 4 2" xfId="7136"/>
    <cellStyle name="la22 13 2 3 5" xfId="7137"/>
    <cellStyle name="la22 13 2 3 5 2" xfId="7138"/>
    <cellStyle name="la22 13 2 3 6" xfId="7139"/>
    <cellStyle name="la22 13 2 4" xfId="7140"/>
    <cellStyle name="la22 13 2 4 2" xfId="7141"/>
    <cellStyle name="la22 13 2 5" xfId="7142"/>
    <cellStyle name="la22 13 2 5 2" xfId="7143"/>
    <cellStyle name="la22 13 2 6" xfId="7144"/>
    <cellStyle name="la22 13 2 6 2" xfId="7145"/>
    <cellStyle name="la22 13 2 7" xfId="7146"/>
    <cellStyle name="la22 13 2 7 2" xfId="7147"/>
    <cellStyle name="la22 13 2 8" xfId="7148"/>
    <cellStyle name="la22 13 3" xfId="7149"/>
    <cellStyle name="la22 13 3 2" xfId="7150"/>
    <cellStyle name="la22 13 3 2 2" xfId="7151"/>
    <cellStyle name="la22 13 3 3" xfId="7152"/>
    <cellStyle name="la22 13 3 3 2" xfId="7153"/>
    <cellStyle name="la22 13 3 4" xfId="7154"/>
    <cellStyle name="la22 13 3 4 2" xfId="7155"/>
    <cellStyle name="la22 13 3 5" xfId="7156"/>
    <cellStyle name="la22 13 3 5 2" xfId="7157"/>
    <cellStyle name="la22 13 3 6" xfId="7158"/>
    <cellStyle name="la22 13 4" xfId="7159"/>
    <cellStyle name="la22 13 4 2" xfId="7160"/>
    <cellStyle name="la22 13 4 2 2" xfId="7161"/>
    <cellStyle name="la22 13 4 3" xfId="7162"/>
    <cellStyle name="la22 13 4 3 2" xfId="7163"/>
    <cellStyle name="la22 13 4 4" xfId="7164"/>
    <cellStyle name="la22 13 4 4 2" xfId="7165"/>
    <cellStyle name="la22 13 4 5" xfId="7166"/>
    <cellStyle name="la22 13 4 5 2" xfId="7167"/>
    <cellStyle name="la22 13 4 6" xfId="7168"/>
    <cellStyle name="la22 13 5" xfId="7169"/>
    <cellStyle name="la22 13 5 2" xfId="7170"/>
    <cellStyle name="la22 13 6" xfId="7171"/>
    <cellStyle name="la22 13 6 2" xfId="7172"/>
    <cellStyle name="la22 13 7" xfId="7173"/>
    <cellStyle name="la22 13 7 2" xfId="7174"/>
    <cellStyle name="la22 13 8" xfId="7175"/>
    <cellStyle name="la22 13 8 2" xfId="7176"/>
    <cellStyle name="la22 13 9" xfId="7177"/>
    <cellStyle name="la22 14" xfId="692"/>
    <cellStyle name="la22 14 2" xfId="7178"/>
    <cellStyle name="la22 14 2 2" xfId="7179"/>
    <cellStyle name="la22 14 2 2 2" xfId="7180"/>
    <cellStyle name="la22 14 2 2 2 2" xfId="7181"/>
    <cellStyle name="la22 14 2 2 3" xfId="7182"/>
    <cellStyle name="la22 14 2 2 3 2" xfId="7183"/>
    <cellStyle name="la22 14 2 2 4" xfId="7184"/>
    <cellStyle name="la22 14 2 2 4 2" xfId="7185"/>
    <cellStyle name="la22 14 2 2 5" xfId="7186"/>
    <cellStyle name="la22 14 2 2 5 2" xfId="7187"/>
    <cellStyle name="la22 14 2 2 6" xfId="7188"/>
    <cellStyle name="la22 14 2 3" xfId="7189"/>
    <cellStyle name="la22 14 2 3 2" xfId="7190"/>
    <cellStyle name="la22 14 2 3 2 2" xfId="7191"/>
    <cellStyle name="la22 14 2 3 3" xfId="7192"/>
    <cellStyle name="la22 14 2 3 3 2" xfId="7193"/>
    <cellStyle name="la22 14 2 3 4" xfId="7194"/>
    <cellStyle name="la22 14 2 3 4 2" xfId="7195"/>
    <cellStyle name="la22 14 2 3 5" xfId="7196"/>
    <cellStyle name="la22 14 2 3 5 2" xfId="7197"/>
    <cellStyle name="la22 14 2 3 6" xfId="7198"/>
    <cellStyle name="la22 14 2 4" xfId="7199"/>
    <cellStyle name="la22 14 2 4 2" xfId="7200"/>
    <cellStyle name="la22 14 2 5" xfId="7201"/>
    <cellStyle name="la22 14 2 5 2" xfId="7202"/>
    <cellStyle name="la22 14 2 6" xfId="7203"/>
    <cellStyle name="la22 14 2 6 2" xfId="7204"/>
    <cellStyle name="la22 14 2 7" xfId="7205"/>
    <cellStyle name="la22 14 2 7 2" xfId="7206"/>
    <cellStyle name="la22 14 2 8" xfId="7207"/>
    <cellStyle name="la22 14 3" xfId="7208"/>
    <cellStyle name="la22 14 3 2" xfId="7209"/>
    <cellStyle name="la22 14 3 2 2" xfId="7210"/>
    <cellStyle name="la22 14 3 3" xfId="7211"/>
    <cellStyle name="la22 14 3 3 2" xfId="7212"/>
    <cellStyle name="la22 14 3 4" xfId="7213"/>
    <cellStyle name="la22 14 3 4 2" xfId="7214"/>
    <cellStyle name="la22 14 3 5" xfId="7215"/>
    <cellStyle name="la22 14 3 5 2" xfId="7216"/>
    <cellStyle name="la22 14 3 6" xfId="7217"/>
    <cellStyle name="la22 14 4" xfId="7218"/>
    <cellStyle name="la22 14 4 2" xfId="7219"/>
    <cellStyle name="la22 14 4 2 2" xfId="7220"/>
    <cellStyle name="la22 14 4 3" xfId="7221"/>
    <cellStyle name="la22 14 4 3 2" xfId="7222"/>
    <cellStyle name="la22 14 4 4" xfId="7223"/>
    <cellStyle name="la22 14 4 4 2" xfId="7224"/>
    <cellStyle name="la22 14 4 5" xfId="7225"/>
    <cellStyle name="la22 14 4 5 2" xfId="7226"/>
    <cellStyle name="la22 14 4 6" xfId="7227"/>
    <cellStyle name="la22 14 5" xfId="7228"/>
    <cellStyle name="la22 14 5 2" xfId="7229"/>
    <cellStyle name="la22 14 6" xfId="7230"/>
    <cellStyle name="la22 14 6 2" xfId="7231"/>
    <cellStyle name="la22 14 7" xfId="7232"/>
    <cellStyle name="la22 14 7 2" xfId="7233"/>
    <cellStyle name="la22 14 8" xfId="7234"/>
    <cellStyle name="la22 14 8 2" xfId="7235"/>
    <cellStyle name="la22 14 9" xfId="7236"/>
    <cellStyle name="la22 15" xfId="693"/>
    <cellStyle name="la22 15 2" xfId="7237"/>
    <cellStyle name="la22 15 2 2" xfId="7238"/>
    <cellStyle name="la22 15 2 2 2" xfId="7239"/>
    <cellStyle name="la22 15 2 2 2 2" xfId="7240"/>
    <cellStyle name="la22 15 2 2 3" xfId="7241"/>
    <cellStyle name="la22 15 2 2 3 2" xfId="7242"/>
    <cellStyle name="la22 15 2 2 4" xfId="7243"/>
    <cellStyle name="la22 15 2 2 4 2" xfId="7244"/>
    <cellStyle name="la22 15 2 2 5" xfId="7245"/>
    <cellStyle name="la22 15 2 2 5 2" xfId="7246"/>
    <cellStyle name="la22 15 2 2 6" xfId="7247"/>
    <cellStyle name="la22 15 2 3" xfId="7248"/>
    <cellStyle name="la22 15 2 3 2" xfId="7249"/>
    <cellStyle name="la22 15 2 3 2 2" xfId="7250"/>
    <cellStyle name="la22 15 2 3 3" xfId="7251"/>
    <cellStyle name="la22 15 2 3 3 2" xfId="7252"/>
    <cellStyle name="la22 15 2 3 4" xfId="7253"/>
    <cellStyle name="la22 15 2 3 4 2" xfId="7254"/>
    <cellStyle name="la22 15 2 3 5" xfId="7255"/>
    <cellStyle name="la22 15 2 3 5 2" xfId="7256"/>
    <cellStyle name="la22 15 2 3 6" xfId="7257"/>
    <cellStyle name="la22 15 2 4" xfId="7258"/>
    <cellStyle name="la22 15 2 4 2" xfId="7259"/>
    <cellStyle name="la22 15 2 5" xfId="7260"/>
    <cellStyle name="la22 15 2 5 2" xfId="7261"/>
    <cellStyle name="la22 15 2 6" xfId="7262"/>
    <cellStyle name="la22 15 2 6 2" xfId="7263"/>
    <cellStyle name="la22 15 2 7" xfId="7264"/>
    <cellStyle name="la22 15 2 7 2" xfId="7265"/>
    <cellStyle name="la22 15 2 8" xfId="7266"/>
    <cellStyle name="la22 15 3" xfId="7267"/>
    <cellStyle name="la22 15 3 2" xfId="7268"/>
    <cellStyle name="la22 15 3 2 2" xfId="7269"/>
    <cellStyle name="la22 15 3 3" xfId="7270"/>
    <cellStyle name="la22 15 3 3 2" xfId="7271"/>
    <cellStyle name="la22 15 3 4" xfId="7272"/>
    <cellStyle name="la22 15 3 4 2" xfId="7273"/>
    <cellStyle name="la22 15 3 5" xfId="7274"/>
    <cellStyle name="la22 15 3 5 2" xfId="7275"/>
    <cellStyle name="la22 15 3 6" xfId="7276"/>
    <cellStyle name="la22 15 4" xfId="7277"/>
    <cellStyle name="la22 15 4 2" xfId="7278"/>
    <cellStyle name="la22 15 4 2 2" xfId="7279"/>
    <cellStyle name="la22 15 4 3" xfId="7280"/>
    <cellStyle name="la22 15 4 3 2" xfId="7281"/>
    <cellStyle name="la22 15 4 4" xfId="7282"/>
    <cellStyle name="la22 15 4 4 2" xfId="7283"/>
    <cellStyle name="la22 15 4 5" xfId="7284"/>
    <cellStyle name="la22 15 4 5 2" xfId="7285"/>
    <cellStyle name="la22 15 4 6" xfId="7286"/>
    <cellStyle name="la22 15 5" xfId="7287"/>
    <cellStyle name="la22 15 5 2" xfId="7288"/>
    <cellStyle name="la22 15 6" xfId="7289"/>
    <cellStyle name="la22 15 6 2" xfId="7290"/>
    <cellStyle name="la22 15 7" xfId="7291"/>
    <cellStyle name="la22 15 7 2" xfId="7292"/>
    <cellStyle name="la22 15 8" xfId="7293"/>
    <cellStyle name="la22 15 8 2" xfId="7294"/>
    <cellStyle name="la22 15 9" xfId="7295"/>
    <cellStyle name="la22 16" xfId="694"/>
    <cellStyle name="la22 16 2" xfId="7296"/>
    <cellStyle name="la22 16 2 2" xfId="7297"/>
    <cellStyle name="la22 16 2 2 2" xfId="7298"/>
    <cellStyle name="la22 16 2 2 2 2" xfId="7299"/>
    <cellStyle name="la22 16 2 2 3" xfId="7300"/>
    <cellStyle name="la22 16 2 2 3 2" xfId="7301"/>
    <cellStyle name="la22 16 2 2 4" xfId="7302"/>
    <cellStyle name="la22 16 2 2 4 2" xfId="7303"/>
    <cellStyle name="la22 16 2 2 5" xfId="7304"/>
    <cellStyle name="la22 16 2 2 5 2" xfId="7305"/>
    <cellStyle name="la22 16 2 2 6" xfId="7306"/>
    <cellStyle name="la22 16 2 3" xfId="7307"/>
    <cellStyle name="la22 16 2 3 2" xfId="7308"/>
    <cellStyle name="la22 16 2 3 2 2" xfId="7309"/>
    <cellStyle name="la22 16 2 3 3" xfId="7310"/>
    <cellStyle name="la22 16 2 3 3 2" xfId="7311"/>
    <cellStyle name="la22 16 2 3 4" xfId="7312"/>
    <cellStyle name="la22 16 2 3 4 2" xfId="7313"/>
    <cellStyle name="la22 16 2 3 5" xfId="7314"/>
    <cellStyle name="la22 16 2 3 5 2" xfId="7315"/>
    <cellStyle name="la22 16 2 3 6" xfId="7316"/>
    <cellStyle name="la22 16 2 4" xfId="7317"/>
    <cellStyle name="la22 16 2 4 2" xfId="7318"/>
    <cellStyle name="la22 16 2 5" xfId="7319"/>
    <cellStyle name="la22 16 2 5 2" xfId="7320"/>
    <cellStyle name="la22 16 2 6" xfId="7321"/>
    <cellStyle name="la22 16 2 6 2" xfId="7322"/>
    <cellStyle name="la22 16 2 7" xfId="7323"/>
    <cellStyle name="la22 16 2 7 2" xfId="7324"/>
    <cellStyle name="la22 16 2 8" xfId="7325"/>
    <cellStyle name="la22 16 3" xfId="7326"/>
    <cellStyle name="la22 16 3 2" xfId="7327"/>
    <cellStyle name="la22 16 3 2 2" xfId="7328"/>
    <cellStyle name="la22 16 3 3" xfId="7329"/>
    <cellStyle name="la22 16 3 3 2" xfId="7330"/>
    <cellStyle name="la22 16 3 4" xfId="7331"/>
    <cellStyle name="la22 16 3 4 2" xfId="7332"/>
    <cellStyle name="la22 16 3 5" xfId="7333"/>
    <cellStyle name="la22 16 3 5 2" xfId="7334"/>
    <cellStyle name="la22 16 3 6" xfId="7335"/>
    <cellStyle name="la22 16 4" xfId="7336"/>
    <cellStyle name="la22 16 4 2" xfId="7337"/>
    <cellStyle name="la22 16 4 2 2" xfId="7338"/>
    <cellStyle name="la22 16 4 3" xfId="7339"/>
    <cellStyle name="la22 16 4 3 2" xfId="7340"/>
    <cellStyle name="la22 16 4 4" xfId="7341"/>
    <cellStyle name="la22 16 4 4 2" xfId="7342"/>
    <cellStyle name="la22 16 4 5" xfId="7343"/>
    <cellStyle name="la22 16 4 5 2" xfId="7344"/>
    <cellStyle name="la22 16 4 6" xfId="7345"/>
    <cellStyle name="la22 16 5" xfId="7346"/>
    <cellStyle name="la22 16 5 2" xfId="7347"/>
    <cellStyle name="la22 16 6" xfId="7348"/>
    <cellStyle name="la22 16 6 2" xfId="7349"/>
    <cellStyle name="la22 16 7" xfId="7350"/>
    <cellStyle name="la22 16 7 2" xfId="7351"/>
    <cellStyle name="la22 16 8" xfId="7352"/>
    <cellStyle name="la22 16 8 2" xfId="7353"/>
    <cellStyle name="la22 16 9" xfId="7354"/>
    <cellStyle name="la22 17" xfId="695"/>
    <cellStyle name="la22 17 2" xfId="7355"/>
    <cellStyle name="la22 17 2 2" xfId="7356"/>
    <cellStyle name="la22 17 2 2 2" xfId="7357"/>
    <cellStyle name="la22 17 2 2 2 2" xfId="7358"/>
    <cellStyle name="la22 17 2 2 3" xfId="7359"/>
    <cellStyle name="la22 17 2 2 3 2" xfId="7360"/>
    <cellStyle name="la22 17 2 2 4" xfId="7361"/>
    <cellStyle name="la22 17 2 2 4 2" xfId="7362"/>
    <cellStyle name="la22 17 2 2 5" xfId="7363"/>
    <cellStyle name="la22 17 2 2 5 2" xfId="7364"/>
    <cellStyle name="la22 17 2 2 6" xfId="7365"/>
    <cellStyle name="la22 17 2 3" xfId="7366"/>
    <cellStyle name="la22 17 2 3 2" xfId="7367"/>
    <cellStyle name="la22 17 2 3 2 2" xfId="7368"/>
    <cellStyle name="la22 17 2 3 3" xfId="7369"/>
    <cellStyle name="la22 17 2 3 3 2" xfId="7370"/>
    <cellStyle name="la22 17 2 3 4" xfId="7371"/>
    <cellStyle name="la22 17 2 3 4 2" xfId="7372"/>
    <cellStyle name="la22 17 2 3 5" xfId="7373"/>
    <cellStyle name="la22 17 2 3 5 2" xfId="7374"/>
    <cellStyle name="la22 17 2 3 6" xfId="7375"/>
    <cellStyle name="la22 17 2 4" xfId="7376"/>
    <cellStyle name="la22 17 2 4 2" xfId="7377"/>
    <cellStyle name="la22 17 2 5" xfId="7378"/>
    <cellStyle name="la22 17 2 5 2" xfId="7379"/>
    <cellStyle name="la22 17 2 6" xfId="7380"/>
    <cellStyle name="la22 17 2 6 2" xfId="7381"/>
    <cellStyle name="la22 17 2 7" xfId="7382"/>
    <cellStyle name="la22 17 2 7 2" xfId="7383"/>
    <cellStyle name="la22 17 2 8" xfId="7384"/>
    <cellStyle name="la22 17 3" xfId="7385"/>
    <cellStyle name="la22 17 3 2" xfId="7386"/>
    <cellStyle name="la22 17 3 2 2" xfId="7387"/>
    <cellStyle name="la22 17 3 3" xfId="7388"/>
    <cellStyle name="la22 17 3 3 2" xfId="7389"/>
    <cellStyle name="la22 17 3 4" xfId="7390"/>
    <cellStyle name="la22 17 3 4 2" xfId="7391"/>
    <cellStyle name="la22 17 3 5" xfId="7392"/>
    <cellStyle name="la22 17 3 5 2" xfId="7393"/>
    <cellStyle name="la22 17 3 6" xfId="7394"/>
    <cellStyle name="la22 17 4" xfId="7395"/>
    <cellStyle name="la22 17 4 2" xfId="7396"/>
    <cellStyle name="la22 17 4 2 2" xfId="7397"/>
    <cellStyle name="la22 17 4 3" xfId="7398"/>
    <cellStyle name="la22 17 4 3 2" xfId="7399"/>
    <cellStyle name="la22 17 4 4" xfId="7400"/>
    <cellStyle name="la22 17 4 4 2" xfId="7401"/>
    <cellStyle name="la22 17 4 5" xfId="7402"/>
    <cellStyle name="la22 17 4 5 2" xfId="7403"/>
    <cellStyle name="la22 17 4 6" xfId="7404"/>
    <cellStyle name="la22 17 5" xfId="7405"/>
    <cellStyle name="la22 17 5 2" xfId="7406"/>
    <cellStyle name="la22 17 6" xfId="7407"/>
    <cellStyle name="la22 17 6 2" xfId="7408"/>
    <cellStyle name="la22 17 7" xfId="7409"/>
    <cellStyle name="la22 17 7 2" xfId="7410"/>
    <cellStyle name="la22 17 8" xfId="7411"/>
    <cellStyle name="la22 17 8 2" xfId="7412"/>
    <cellStyle name="la22 17 9" xfId="7413"/>
    <cellStyle name="la22 18" xfId="7414"/>
    <cellStyle name="la22 18 2" xfId="7415"/>
    <cellStyle name="la22 18 2 2" xfId="7416"/>
    <cellStyle name="la22 18 2 2 2" xfId="7417"/>
    <cellStyle name="la22 18 2 3" xfId="7418"/>
    <cellStyle name="la22 18 2 3 2" xfId="7419"/>
    <cellStyle name="la22 18 2 4" xfId="7420"/>
    <cellStyle name="la22 18 2 4 2" xfId="7421"/>
    <cellStyle name="la22 18 2 5" xfId="7422"/>
    <cellStyle name="la22 18 2 5 2" xfId="7423"/>
    <cellStyle name="la22 18 2 6" xfId="7424"/>
    <cellStyle name="la22 18 3" xfId="7425"/>
    <cellStyle name="la22 18 3 2" xfId="7426"/>
    <cellStyle name="la22 18 3 2 2" xfId="7427"/>
    <cellStyle name="la22 18 3 3" xfId="7428"/>
    <cellStyle name="la22 18 3 3 2" xfId="7429"/>
    <cellStyle name="la22 18 3 4" xfId="7430"/>
    <cellStyle name="la22 18 3 4 2" xfId="7431"/>
    <cellStyle name="la22 18 3 5" xfId="7432"/>
    <cellStyle name="la22 18 3 5 2" xfId="7433"/>
    <cellStyle name="la22 18 3 6" xfId="7434"/>
    <cellStyle name="la22 18 4" xfId="7435"/>
    <cellStyle name="la22 18 4 2" xfId="7436"/>
    <cellStyle name="la22 18 5" xfId="7437"/>
    <cellStyle name="la22 18 5 2" xfId="7438"/>
    <cellStyle name="la22 18 6" xfId="7439"/>
    <cellStyle name="la22 18 6 2" xfId="7440"/>
    <cellStyle name="la22 18 7" xfId="7441"/>
    <cellStyle name="la22 18 7 2" xfId="7442"/>
    <cellStyle name="la22 18 8" xfId="7443"/>
    <cellStyle name="la22 19" xfId="7444"/>
    <cellStyle name="la22 19 2" xfId="7445"/>
    <cellStyle name="la22 19 2 2" xfId="7446"/>
    <cellStyle name="la22 19 3" xfId="7447"/>
    <cellStyle name="la22 19 3 2" xfId="7448"/>
    <cellStyle name="la22 19 4" xfId="7449"/>
    <cellStyle name="la22 19 4 2" xfId="7450"/>
    <cellStyle name="la22 19 5" xfId="7451"/>
    <cellStyle name="la22 19 5 2" xfId="7452"/>
    <cellStyle name="la22 19 6" xfId="7453"/>
    <cellStyle name="la22 2" xfId="696"/>
    <cellStyle name="la22 2 10" xfId="7454"/>
    <cellStyle name="la22 2 10 2" xfId="7455"/>
    <cellStyle name="la22 2 11" xfId="7456"/>
    <cellStyle name="la22 2 11 2" xfId="7457"/>
    <cellStyle name="la22 2 12" xfId="7458"/>
    <cellStyle name="la22 2 12 2" xfId="7459"/>
    <cellStyle name="la22 2 13" xfId="7460"/>
    <cellStyle name="la22 2 2" xfId="2210"/>
    <cellStyle name="la22 2 2 10" xfId="7461"/>
    <cellStyle name="la22 2 2 2" xfId="2211"/>
    <cellStyle name="la22 2 2 2 2" xfId="7462"/>
    <cellStyle name="la22 2 2 2 2 2" xfId="7463"/>
    <cellStyle name="la22 2 2 2 2 2 2" xfId="7464"/>
    <cellStyle name="la22 2 2 2 2 2 2 2" xfId="7465"/>
    <cellStyle name="la22 2 2 2 2 2 3" xfId="7466"/>
    <cellStyle name="la22 2 2 2 2 2 3 2" xfId="7467"/>
    <cellStyle name="la22 2 2 2 2 2 4" xfId="7468"/>
    <cellStyle name="la22 2 2 2 2 2 4 2" xfId="7469"/>
    <cellStyle name="la22 2 2 2 2 2 5" xfId="7470"/>
    <cellStyle name="la22 2 2 2 2 2 5 2" xfId="7471"/>
    <cellStyle name="la22 2 2 2 2 2 6" xfId="7472"/>
    <cellStyle name="la22 2 2 2 2 3" xfId="7473"/>
    <cellStyle name="la22 2 2 2 2 3 2" xfId="7474"/>
    <cellStyle name="la22 2 2 2 2 3 2 2" xfId="7475"/>
    <cellStyle name="la22 2 2 2 2 3 3" xfId="7476"/>
    <cellStyle name="la22 2 2 2 2 3 3 2" xfId="7477"/>
    <cellStyle name="la22 2 2 2 2 3 4" xfId="7478"/>
    <cellStyle name="la22 2 2 2 2 3 4 2" xfId="7479"/>
    <cellStyle name="la22 2 2 2 2 3 5" xfId="7480"/>
    <cellStyle name="la22 2 2 2 2 3 5 2" xfId="7481"/>
    <cellStyle name="la22 2 2 2 2 3 6" xfId="7482"/>
    <cellStyle name="la22 2 2 2 2 4" xfId="7483"/>
    <cellStyle name="la22 2 2 2 2 4 2" xfId="7484"/>
    <cellStyle name="la22 2 2 2 2 5" xfId="7485"/>
    <cellStyle name="la22 2 2 2 2 5 2" xfId="7486"/>
    <cellStyle name="la22 2 2 2 2 6" xfId="7487"/>
    <cellStyle name="la22 2 2 2 2 6 2" xfId="7488"/>
    <cellStyle name="la22 2 2 2 2 7" xfId="7489"/>
    <cellStyle name="la22 2 2 2 2 7 2" xfId="7490"/>
    <cellStyle name="la22 2 2 2 2 8" xfId="7491"/>
    <cellStyle name="la22 2 2 2 3" xfId="7492"/>
    <cellStyle name="la22 2 2 2 3 2" xfId="7493"/>
    <cellStyle name="la22 2 2 2 3 2 2" xfId="7494"/>
    <cellStyle name="la22 2 2 2 3 3" xfId="7495"/>
    <cellStyle name="la22 2 2 2 3 3 2" xfId="7496"/>
    <cellStyle name="la22 2 2 2 3 4" xfId="7497"/>
    <cellStyle name="la22 2 2 2 3 4 2" xfId="7498"/>
    <cellStyle name="la22 2 2 2 3 5" xfId="7499"/>
    <cellStyle name="la22 2 2 2 3 5 2" xfId="7500"/>
    <cellStyle name="la22 2 2 2 3 6" xfId="7501"/>
    <cellStyle name="la22 2 2 2 4" xfId="7502"/>
    <cellStyle name="la22 2 2 2 4 2" xfId="7503"/>
    <cellStyle name="la22 2 2 2 4 2 2" xfId="7504"/>
    <cellStyle name="la22 2 2 2 4 3" xfId="7505"/>
    <cellStyle name="la22 2 2 2 4 3 2" xfId="7506"/>
    <cellStyle name="la22 2 2 2 4 4" xfId="7507"/>
    <cellStyle name="la22 2 2 2 4 4 2" xfId="7508"/>
    <cellStyle name="la22 2 2 2 4 5" xfId="7509"/>
    <cellStyle name="la22 2 2 2 4 5 2" xfId="7510"/>
    <cellStyle name="la22 2 2 2 4 6" xfId="7511"/>
    <cellStyle name="la22 2 2 2 5" xfId="7512"/>
    <cellStyle name="la22 2 2 2 5 2" xfId="7513"/>
    <cellStyle name="la22 2 2 2 6" xfId="7514"/>
    <cellStyle name="la22 2 2 2 6 2" xfId="7515"/>
    <cellStyle name="la22 2 2 2 7" xfId="7516"/>
    <cellStyle name="la22 2 2 2 7 2" xfId="7517"/>
    <cellStyle name="la22 2 2 2 8" xfId="7518"/>
    <cellStyle name="la22 2 2 2 8 2" xfId="7519"/>
    <cellStyle name="la22 2 2 2 9" xfId="7520"/>
    <cellStyle name="la22 2 2 3" xfId="7521"/>
    <cellStyle name="la22 2 2 3 2" xfId="7522"/>
    <cellStyle name="la22 2 2 3 2 2" xfId="7523"/>
    <cellStyle name="la22 2 2 3 2 2 2" xfId="7524"/>
    <cellStyle name="la22 2 2 3 2 3" xfId="7525"/>
    <cellStyle name="la22 2 2 3 2 3 2" xfId="7526"/>
    <cellStyle name="la22 2 2 3 2 4" xfId="7527"/>
    <cellStyle name="la22 2 2 3 2 4 2" xfId="7528"/>
    <cellStyle name="la22 2 2 3 2 5" xfId="7529"/>
    <cellStyle name="la22 2 2 3 2 5 2" xfId="7530"/>
    <cellStyle name="la22 2 2 3 2 6" xfId="7531"/>
    <cellStyle name="la22 2 2 3 3" xfId="7532"/>
    <cellStyle name="la22 2 2 3 3 2" xfId="7533"/>
    <cellStyle name="la22 2 2 3 3 2 2" xfId="7534"/>
    <cellStyle name="la22 2 2 3 3 3" xfId="7535"/>
    <cellStyle name="la22 2 2 3 3 3 2" xfId="7536"/>
    <cellStyle name="la22 2 2 3 3 4" xfId="7537"/>
    <cellStyle name="la22 2 2 3 3 4 2" xfId="7538"/>
    <cellStyle name="la22 2 2 3 3 5" xfId="7539"/>
    <cellStyle name="la22 2 2 3 3 5 2" xfId="7540"/>
    <cellStyle name="la22 2 2 3 3 6" xfId="7541"/>
    <cellStyle name="la22 2 2 3 4" xfId="7542"/>
    <cellStyle name="la22 2 2 3 4 2" xfId="7543"/>
    <cellStyle name="la22 2 2 3 5" xfId="7544"/>
    <cellStyle name="la22 2 2 3 5 2" xfId="7545"/>
    <cellStyle name="la22 2 2 3 6" xfId="7546"/>
    <cellStyle name="la22 2 2 3 6 2" xfId="7547"/>
    <cellStyle name="la22 2 2 3 7" xfId="7548"/>
    <cellStyle name="la22 2 2 3 7 2" xfId="7549"/>
    <cellStyle name="la22 2 2 3 8" xfId="7550"/>
    <cellStyle name="la22 2 2 4" xfId="7551"/>
    <cellStyle name="la22 2 2 4 2" xfId="7552"/>
    <cellStyle name="la22 2 2 4 2 2" xfId="7553"/>
    <cellStyle name="la22 2 2 4 3" xfId="7554"/>
    <cellStyle name="la22 2 2 4 3 2" xfId="7555"/>
    <cellStyle name="la22 2 2 4 4" xfId="7556"/>
    <cellStyle name="la22 2 2 4 4 2" xfId="7557"/>
    <cellStyle name="la22 2 2 4 5" xfId="7558"/>
    <cellStyle name="la22 2 2 4 5 2" xfId="7559"/>
    <cellStyle name="la22 2 2 4 6" xfId="7560"/>
    <cellStyle name="la22 2 2 5" xfId="7561"/>
    <cellStyle name="la22 2 2 5 2" xfId="7562"/>
    <cellStyle name="la22 2 2 5 2 2" xfId="7563"/>
    <cellStyle name="la22 2 2 5 3" xfId="7564"/>
    <cellStyle name="la22 2 2 5 3 2" xfId="7565"/>
    <cellStyle name="la22 2 2 5 4" xfId="7566"/>
    <cellStyle name="la22 2 2 5 4 2" xfId="7567"/>
    <cellStyle name="la22 2 2 5 5" xfId="7568"/>
    <cellStyle name="la22 2 2 5 5 2" xfId="7569"/>
    <cellStyle name="la22 2 2 5 6" xfId="7570"/>
    <cellStyle name="la22 2 2 6" xfId="7571"/>
    <cellStyle name="la22 2 2 6 2" xfId="7572"/>
    <cellStyle name="la22 2 2 7" xfId="7573"/>
    <cellStyle name="la22 2 2 7 2" xfId="7574"/>
    <cellStyle name="la22 2 2 8" xfId="7575"/>
    <cellStyle name="la22 2 2 8 2" xfId="7576"/>
    <cellStyle name="la22 2 2 9" xfId="7577"/>
    <cellStyle name="la22 2 2 9 2" xfId="7578"/>
    <cellStyle name="la22 2 3" xfId="2212"/>
    <cellStyle name="la22 2 3 10" xfId="7579"/>
    <cellStyle name="la22 2 3 2" xfId="2213"/>
    <cellStyle name="la22 2 3 2 2" xfId="7580"/>
    <cellStyle name="la22 2 3 2 2 2" xfId="7581"/>
    <cellStyle name="la22 2 3 2 2 2 2" xfId="7582"/>
    <cellStyle name="la22 2 3 2 2 2 2 2" xfId="7583"/>
    <cellStyle name="la22 2 3 2 2 2 3" xfId="7584"/>
    <cellStyle name="la22 2 3 2 2 2 3 2" xfId="7585"/>
    <cellStyle name="la22 2 3 2 2 2 4" xfId="7586"/>
    <cellStyle name="la22 2 3 2 2 2 4 2" xfId="7587"/>
    <cellStyle name="la22 2 3 2 2 2 5" xfId="7588"/>
    <cellStyle name="la22 2 3 2 2 2 5 2" xfId="7589"/>
    <cellStyle name="la22 2 3 2 2 2 6" xfId="7590"/>
    <cellStyle name="la22 2 3 2 2 3" xfId="7591"/>
    <cellStyle name="la22 2 3 2 2 3 2" xfId="7592"/>
    <cellStyle name="la22 2 3 2 2 3 2 2" xfId="7593"/>
    <cellStyle name="la22 2 3 2 2 3 3" xfId="7594"/>
    <cellStyle name="la22 2 3 2 2 3 3 2" xfId="7595"/>
    <cellStyle name="la22 2 3 2 2 3 4" xfId="7596"/>
    <cellStyle name="la22 2 3 2 2 3 4 2" xfId="7597"/>
    <cellStyle name="la22 2 3 2 2 3 5" xfId="7598"/>
    <cellStyle name="la22 2 3 2 2 3 5 2" xfId="7599"/>
    <cellStyle name="la22 2 3 2 2 3 6" xfId="7600"/>
    <cellStyle name="la22 2 3 2 2 4" xfId="7601"/>
    <cellStyle name="la22 2 3 2 2 4 2" xfId="7602"/>
    <cellStyle name="la22 2 3 2 2 5" xfId="7603"/>
    <cellStyle name="la22 2 3 2 2 5 2" xfId="7604"/>
    <cellStyle name="la22 2 3 2 2 6" xfId="7605"/>
    <cellStyle name="la22 2 3 2 2 6 2" xfId="7606"/>
    <cellStyle name="la22 2 3 2 2 7" xfId="7607"/>
    <cellStyle name="la22 2 3 2 2 7 2" xfId="7608"/>
    <cellStyle name="la22 2 3 2 2 8" xfId="7609"/>
    <cellStyle name="la22 2 3 2 3" xfId="7610"/>
    <cellStyle name="la22 2 3 2 3 2" xfId="7611"/>
    <cellStyle name="la22 2 3 2 3 2 2" xfId="7612"/>
    <cellStyle name="la22 2 3 2 3 3" xfId="7613"/>
    <cellStyle name="la22 2 3 2 3 3 2" xfId="7614"/>
    <cellStyle name="la22 2 3 2 3 4" xfId="7615"/>
    <cellStyle name="la22 2 3 2 3 4 2" xfId="7616"/>
    <cellStyle name="la22 2 3 2 3 5" xfId="7617"/>
    <cellStyle name="la22 2 3 2 3 5 2" xfId="7618"/>
    <cellStyle name="la22 2 3 2 3 6" xfId="7619"/>
    <cellStyle name="la22 2 3 2 4" xfId="7620"/>
    <cellStyle name="la22 2 3 2 4 2" xfId="7621"/>
    <cellStyle name="la22 2 3 2 4 2 2" xfId="7622"/>
    <cellStyle name="la22 2 3 2 4 3" xfId="7623"/>
    <cellStyle name="la22 2 3 2 4 3 2" xfId="7624"/>
    <cellStyle name="la22 2 3 2 4 4" xfId="7625"/>
    <cellStyle name="la22 2 3 2 4 4 2" xfId="7626"/>
    <cellStyle name="la22 2 3 2 4 5" xfId="7627"/>
    <cellStyle name="la22 2 3 2 4 5 2" xfId="7628"/>
    <cellStyle name="la22 2 3 2 4 6" xfId="7629"/>
    <cellStyle name="la22 2 3 2 5" xfId="7630"/>
    <cellStyle name="la22 2 3 2 5 2" xfId="7631"/>
    <cellStyle name="la22 2 3 2 6" xfId="7632"/>
    <cellStyle name="la22 2 3 2 6 2" xfId="7633"/>
    <cellStyle name="la22 2 3 2 7" xfId="7634"/>
    <cellStyle name="la22 2 3 2 7 2" xfId="7635"/>
    <cellStyle name="la22 2 3 2 8" xfId="7636"/>
    <cellStyle name="la22 2 3 2 8 2" xfId="7637"/>
    <cellStyle name="la22 2 3 2 9" xfId="7638"/>
    <cellStyle name="la22 2 3 3" xfId="7639"/>
    <cellStyle name="la22 2 3 3 2" xfId="7640"/>
    <cellStyle name="la22 2 3 3 2 2" xfId="7641"/>
    <cellStyle name="la22 2 3 3 2 2 2" xfId="7642"/>
    <cellStyle name="la22 2 3 3 2 3" xfId="7643"/>
    <cellStyle name="la22 2 3 3 2 3 2" xfId="7644"/>
    <cellStyle name="la22 2 3 3 2 4" xfId="7645"/>
    <cellStyle name="la22 2 3 3 2 4 2" xfId="7646"/>
    <cellStyle name="la22 2 3 3 2 5" xfId="7647"/>
    <cellStyle name="la22 2 3 3 2 5 2" xfId="7648"/>
    <cellStyle name="la22 2 3 3 2 6" xfId="7649"/>
    <cellStyle name="la22 2 3 3 3" xfId="7650"/>
    <cellStyle name="la22 2 3 3 3 2" xfId="7651"/>
    <cellStyle name="la22 2 3 3 3 2 2" xfId="7652"/>
    <cellStyle name="la22 2 3 3 3 3" xfId="7653"/>
    <cellStyle name="la22 2 3 3 3 3 2" xfId="7654"/>
    <cellStyle name="la22 2 3 3 3 4" xfId="7655"/>
    <cellStyle name="la22 2 3 3 3 4 2" xfId="7656"/>
    <cellStyle name="la22 2 3 3 3 5" xfId="7657"/>
    <cellStyle name="la22 2 3 3 3 5 2" xfId="7658"/>
    <cellStyle name="la22 2 3 3 3 6" xfId="7659"/>
    <cellStyle name="la22 2 3 3 4" xfId="7660"/>
    <cellStyle name="la22 2 3 3 4 2" xfId="7661"/>
    <cellStyle name="la22 2 3 3 5" xfId="7662"/>
    <cellStyle name="la22 2 3 3 5 2" xfId="7663"/>
    <cellStyle name="la22 2 3 3 6" xfId="7664"/>
    <cellStyle name="la22 2 3 3 6 2" xfId="7665"/>
    <cellStyle name="la22 2 3 3 7" xfId="7666"/>
    <cellStyle name="la22 2 3 3 7 2" xfId="7667"/>
    <cellStyle name="la22 2 3 3 8" xfId="7668"/>
    <cellStyle name="la22 2 3 4" xfId="7669"/>
    <cellStyle name="la22 2 3 4 2" xfId="7670"/>
    <cellStyle name="la22 2 3 4 2 2" xfId="7671"/>
    <cellStyle name="la22 2 3 4 3" xfId="7672"/>
    <cellStyle name="la22 2 3 4 3 2" xfId="7673"/>
    <cellStyle name="la22 2 3 4 4" xfId="7674"/>
    <cellStyle name="la22 2 3 4 4 2" xfId="7675"/>
    <cellStyle name="la22 2 3 4 5" xfId="7676"/>
    <cellStyle name="la22 2 3 4 5 2" xfId="7677"/>
    <cellStyle name="la22 2 3 4 6" xfId="7678"/>
    <cellStyle name="la22 2 3 5" xfId="7679"/>
    <cellStyle name="la22 2 3 5 2" xfId="7680"/>
    <cellStyle name="la22 2 3 5 2 2" xfId="7681"/>
    <cellStyle name="la22 2 3 5 3" xfId="7682"/>
    <cellStyle name="la22 2 3 5 3 2" xfId="7683"/>
    <cellStyle name="la22 2 3 5 4" xfId="7684"/>
    <cellStyle name="la22 2 3 5 4 2" xfId="7685"/>
    <cellStyle name="la22 2 3 5 5" xfId="7686"/>
    <cellStyle name="la22 2 3 5 5 2" xfId="7687"/>
    <cellStyle name="la22 2 3 5 6" xfId="7688"/>
    <cellStyle name="la22 2 3 6" xfId="7689"/>
    <cellStyle name="la22 2 3 6 2" xfId="7690"/>
    <cellStyle name="la22 2 3 7" xfId="7691"/>
    <cellStyle name="la22 2 3 7 2" xfId="7692"/>
    <cellStyle name="la22 2 3 8" xfId="7693"/>
    <cellStyle name="la22 2 3 8 2" xfId="7694"/>
    <cellStyle name="la22 2 3 9" xfId="7695"/>
    <cellStyle name="la22 2 3 9 2" xfId="7696"/>
    <cellStyle name="la22 2 4" xfId="2214"/>
    <cellStyle name="la22 2 4 10" xfId="7697"/>
    <cellStyle name="la22 2 4 2" xfId="2215"/>
    <cellStyle name="la22 2 4 2 2" xfId="7698"/>
    <cellStyle name="la22 2 4 2 2 2" xfId="7699"/>
    <cellStyle name="la22 2 4 2 2 2 2" xfId="7700"/>
    <cellStyle name="la22 2 4 2 2 2 2 2" xfId="7701"/>
    <cellStyle name="la22 2 4 2 2 2 3" xfId="7702"/>
    <cellStyle name="la22 2 4 2 2 2 3 2" xfId="7703"/>
    <cellStyle name="la22 2 4 2 2 2 4" xfId="7704"/>
    <cellStyle name="la22 2 4 2 2 2 4 2" xfId="7705"/>
    <cellStyle name="la22 2 4 2 2 2 5" xfId="7706"/>
    <cellStyle name="la22 2 4 2 2 2 5 2" xfId="7707"/>
    <cellStyle name="la22 2 4 2 2 2 6" xfId="7708"/>
    <cellStyle name="la22 2 4 2 2 3" xfId="7709"/>
    <cellStyle name="la22 2 4 2 2 3 2" xfId="7710"/>
    <cellStyle name="la22 2 4 2 2 3 2 2" xfId="7711"/>
    <cellStyle name="la22 2 4 2 2 3 3" xfId="7712"/>
    <cellStyle name="la22 2 4 2 2 3 3 2" xfId="7713"/>
    <cellStyle name="la22 2 4 2 2 3 4" xfId="7714"/>
    <cellStyle name="la22 2 4 2 2 3 4 2" xfId="7715"/>
    <cellStyle name="la22 2 4 2 2 3 5" xfId="7716"/>
    <cellStyle name="la22 2 4 2 2 3 5 2" xfId="7717"/>
    <cellStyle name="la22 2 4 2 2 3 6" xfId="7718"/>
    <cellStyle name="la22 2 4 2 2 4" xfId="7719"/>
    <cellStyle name="la22 2 4 2 2 4 2" xfId="7720"/>
    <cellStyle name="la22 2 4 2 2 5" xfId="7721"/>
    <cellStyle name="la22 2 4 2 2 5 2" xfId="7722"/>
    <cellStyle name="la22 2 4 2 2 6" xfId="7723"/>
    <cellStyle name="la22 2 4 2 2 6 2" xfId="7724"/>
    <cellStyle name="la22 2 4 2 2 7" xfId="7725"/>
    <cellStyle name="la22 2 4 2 2 7 2" xfId="7726"/>
    <cellStyle name="la22 2 4 2 2 8" xfId="7727"/>
    <cellStyle name="la22 2 4 2 3" xfId="7728"/>
    <cellStyle name="la22 2 4 2 3 2" xfId="7729"/>
    <cellStyle name="la22 2 4 2 3 2 2" xfId="7730"/>
    <cellStyle name="la22 2 4 2 3 3" xfId="7731"/>
    <cellStyle name="la22 2 4 2 3 3 2" xfId="7732"/>
    <cellStyle name="la22 2 4 2 3 4" xfId="7733"/>
    <cellStyle name="la22 2 4 2 3 4 2" xfId="7734"/>
    <cellStyle name="la22 2 4 2 3 5" xfId="7735"/>
    <cellStyle name="la22 2 4 2 3 5 2" xfId="7736"/>
    <cellStyle name="la22 2 4 2 3 6" xfId="7737"/>
    <cellStyle name="la22 2 4 2 4" xfId="7738"/>
    <cellStyle name="la22 2 4 2 4 2" xfId="7739"/>
    <cellStyle name="la22 2 4 2 4 2 2" xfId="7740"/>
    <cellStyle name="la22 2 4 2 4 3" xfId="7741"/>
    <cellStyle name="la22 2 4 2 4 3 2" xfId="7742"/>
    <cellStyle name="la22 2 4 2 4 4" xfId="7743"/>
    <cellStyle name="la22 2 4 2 4 4 2" xfId="7744"/>
    <cellStyle name="la22 2 4 2 4 5" xfId="7745"/>
    <cellStyle name="la22 2 4 2 4 5 2" xfId="7746"/>
    <cellStyle name="la22 2 4 2 4 6" xfId="7747"/>
    <cellStyle name="la22 2 4 2 5" xfId="7748"/>
    <cellStyle name="la22 2 4 2 5 2" xfId="7749"/>
    <cellStyle name="la22 2 4 2 6" xfId="7750"/>
    <cellStyle name="la22 2 4 2 6 2" xfId="7751"/>
    <cellStyle name="la22 2 4 2 7" xfId="7752"/>
    <cellStyle name="la22 2 4 2 7 2" xfId="7753"/>
    <cellStyle name="la22 2 4 2 8" xfId="7754"/>
    <cellStyle name="la22 2 4 2 8 2" xfId="7755"/>
    <cellStyle name="la22 2 4 2 9" xfId="7756"/>
    <cellStyle name="la22 2 4 3" xfId="7757"/>
    <cellStyle name="la22 2 4 3 2" xfId="7758"/>
    <cellStyle name="la22 2 4 3 2 2" xfId="7759"/>
    <cellStyle name="la22 2 4 3 2 2 2" xfId="7760"/>
    <cellStyle name="la22 2 4 3 2 3" xfId="7761"/>
    <cellStyle name="la22 2 4 3 2 3 2" xfId="7762"/>
    <cellStyle name="la22 2 4 3 2 4" xfId="7763"/>
    <cellStyle name="la22 2 4 3 2 4 2" xfId="7764"/>
    <cellStyle name="la22 2 4 3 2 5" xfId="7765"/>
    <cellStyle name="la22 2 4 3 2 5 2" xfId="7766"/>
    <cellStyle name="la22 2 4 3 2 6" xfId="7767"/>
    <cellStyle name="la22 2 4 3 3" xfId="7768"/>
    <cellStyle name="la22 2 4 3 3 2" xfId="7769"/>
    <cellStyle name="la22 2 4 3 3 2 2" xfId="7770"/>
    <cellStyle name="la22 2 4 3 3 3" xfId="7771"/>
    <cellStyle name="la22 2 4 3 3 3 2" xfId="7772"/>
    <cellStyle name="la22 2 4 3 3 4" xfId="7773"/>
    <cellStyle name="la22 2 4 3 3 4 2" xfId="7774"/>
    <cellStyle name="la22 2 4 3 3 5" xfId="7775"/>
    <cellStyle name="la22 2 4 3 3 5 2" xfId="7776"/>
    <cellStyle name="la22 2 4 3 3 6" xfId="7777"/>
    <cellStyle name="la22 2 4 3 4" xfId="7778"/>
    <cellStyle name="la22 2 4 3 4 2" xfId="7779"/>
    <cellStyle name="la22 2 4 3 5" xfId="7780"/>
    <cellStyle name="la22 2 4 3 5 2" xfId="7781"/>
    <cellStyle name="la22 2 4 3 6" xfId="7782"/>
    <cellStyle name="la22 2 4 3 6 2" xfId="7783"/>
    <cellStyle name="la22 2 4 3 7" xfId="7784"/>
    <cellStyle name="la22 2 4 3 7 2" xfId="7785"/>
    <cellStyle name="la22 2 4 3 8" xfId="7786"/>
    <cellStyle name="la22 2 4 4" xfId="7787"/>
    <cellStyle name="la22 2 4 4 2" xfId="7788"/>
    <cellStyle name="la22 2 4 4 2 2" xfId="7789"/>
    <cellStyle name="la22 2 4 4 3" xfId="7790"/>
    <cellStyle name="la22 2 4 4 3 2" xfId="7791"/>
    <cellStyle name="la22 2 4 4 4" xfId="7792"/>
    <cellStyle name="la22 2 4 4 4 2" xfId="7793"/>
    <cellStyle name="la22 2 4 4 5" xfId="7794"/>
    <cellStyle name="la22 2 4 4 5 2" xfId="7795"/>
    <cellStyle name="la22 2 4 4 6" xfId="7796"/>
    <cellStyle name="la22 2 4 5" xfId="7797"/>
    <cellStyle name="la22 2 4 5 2" xfId="7798"/>
    <cellStyle name="la22 2 4 5 2 2" xfId="7799"/>
    <cellStyle name="la22 2 4 5 3" xfId="7800"/>
    <cellStyle name="la22 2 4 5 3 2" xfId="7801"/>
    <cellStyle name="la22 2 4 5 4" xfId="7802"/>
    <cellStyle name="la22 2 4 5 4 2" xfId="7803"/>
    <cellStyle name="la22 2 4 5 5" xfId="7804"/>
    <cellStyle name="la22 2 4 5 5 2" xfId="7805"/>
    <cellStyle name="la22 2 4 5 6" xfId="7806"/>
    <cellStyle name="la22 2 4 6" xfId="7807"/>
    <cellStyle name="la22 2 4 6 2" xfId="7808"/>
    <cellStyle name="la22 2 4 7" xfId="7809"/>
    <cellStyle name="la22 2 4 7 2" xfId="7810"/>
    <cellStyle name="la22 2 4 8" xfId="7811"/>
    <cellStyle name="la22 2 4 8 2" xfId="7812"/>
    <cellStyle name="la22 2 4 9" xfId="7813"/>
    <cellStyle name="la22 2 4 9 2" xfId="7814"/>
    <cellStyle name="la22 2 5" xfId="2216"/>
    <cellStyle name="la22 2 5 2" xfId="7815"/>
    <cellStyle name="la22 2 5 2 2" xfId="7816"/>
    <cellStyle name="la22 2 5 2 2 2" xfId="7817"/>
    <cellStyle name="la22 2 5 2 2 2 2" xfId="7818"/>
    <cellStyle name="la22 2 5 2 2 3" xfId="7819"/>
    <cellStyle name="la22 2 5 2 2 3 2" xfId="7820"/>
    <cellStyle name="la22 2 5 2 2 4" xfId="7821"/>
    <cellStyle name="la22 2 5 2 2 4 2" xfId="7822"/>
    <cellStyle name="la22 2 5 2 2 5" xfId="7823"/>
    <cellStyle name="la22 2 5 2 2 5 2" xfId="7824"/>
    <cellStyle name="la22 2 5 2 2 6" xfId="7825"/>
    <cellStyle name="la22 2 5 2 3" xfId="7826"/>
    <cellStyle name="la22 2 5 2 3 2" xfId="7827"/>
    <cellStyle name="la22 2 5 2 3 2 2" xfId="7828"/>
    <cellStyle name="la22 2 5 2 3 3" xfId="7829"/>
    <cellStyle name="la22 2 5 2 3 3 2" xfId="7830"/>
    <cellStyle name="la22 2 5 2 3 4" xfId="7831"/>
    <cellStyle name="la22 2 5 2 3 4 2" xfId="7832"/>
    <cellStyle name="la22 2 5 2 3 5" xfId="7833"/>
    <cellStyle name="la22 2 5 2 3 5 2" xfId="7834"/>
    <cellStyle name="la22 2 5 2 3 6" xfId="7835"/>
    <cellStyle name="la22 2 5 2 4" xfId="7836"/>
    <cellStyle name="la22 2 5 2 4 2" xfId="7837"/>
    <cellStyle name="la22 2 5 2 5" xfId="7838"/>
    <cellStyle name="la22 2 5 2 5 2" xfId="7839"/>
    <cellStyle name="la22 2 5 2 6" xfId="7840"/>
    <cellStyle name="la22 2 5 2 6 2" xfId="7841"/>
    <cellStyle name="la22 2 5 2 7" xfId="7842"/>
    <cellStyle name="la22 2 5 2 7 2" xfId="7843"/>
    <cellStyle name="la22 2 5 2 8" xfId="7844"/>
    <cellStyle name="la22 2 5 3" xfId="7845"/>
    <cellStyle name="la22 2 5 3 2" xfId="7846"/>
    <cellStyle name="la22 2 5 3 2 2" xfId="7847"/>
    <cellStyle name="la22 2 5 3 3" xfId="7848"/>
    <cellStyle name="la22 2 5 3 3 2" xfId="7849"/>
    <cellStyle name="la22 2 5 3 4" xfId="7850"/>
    <cellStyle name="la22 2 5 3 4 2" xfId="7851"/>
    <cellStyle name="la22 2 5 3 5" xfId="7852"/>
    <cellStyle name="la22 2 5 3 5 2" xfId="7853"/>
    <cellStyle name="la22 2 5 3 6" xfId="7854"/>
    <cellStyle name="la22 2 5 4" xfId="7855"/>
    <cellStyle name="la22 2 5 4 2" xfId="7856"/>
    <cellStyle name="la22 2 5 4 2 2" xfId="7857"/>
    <cellStyle name="la22 2 5 4 3" xfId="7858"/>
    <cellStyle name="la22 2 5 4 3 2" xfId="7859"/>
    <cellStyle name="la22 2 5 4 4" xfId="7860"/>
    <cellStyle name="la22 2 5 4 4 2" xfId="7861"/>
    <cellStyle name="la22 2 5 4 5" xfId="7862"/>
    <cellStyle name="la22 2 5 4 5 2" xfId="7863"/>
    <cellStyle name="la22 2 5 4 6" xfId="7864"/>
    <cellStyle name="la22 2 5 5" xfId="7865"/>
    <cellStyle name="la22 2 5 5 2" xfId="7866"/>
    <cellStyle name="la22 2 5 6" xfId="7867"/>
    <cellStyle name="la22 2 5 6 2" xfId="7868"/>
    <cellStyle name="la22 2 5 7" xfId="7869"/>
    <cellStyle name="la22 2 5 7 2" xfId="7870"/>
    <cellStyle name="la22 2 5 8" xfId="7871"/>
    <cellStyle name="la22 2 5 8 2" xfId="7872"/>
    <cellStyle name="la22 2 5 9" xfId="7873"/>
    <cellStyle name="la22 2 6" xfId="7874"/>
    <cellStyle name="la22 2 6 2" xfId="7875"/>
    <cellStyle name="la22 2 6 2 2" xfId="7876"/>
    <cellStyle name="la22 2 6 2 2 2" xfId="7877"/>
    <cellStyle name="la22 2 6 2 3" xfId="7878"/>
    <cellStyle name="la22 2 6 2 3 2" xfId="7879"/>
    <cellStyle name="la22 2 6 2 4" xfId="7880"/>
    <cellStyle name="la22 2 6 2 4 2" xfId="7881"/>
    <cellStyle name="la22 2 6 2 5" xfId="7882"/>
    <cellStyle name="la22 2 6 2 5 2" xfId="7883"/>
    <cellStyle name="la22 2 6 2 6" xfId="7884"/>
    <cellStyle name="la22 2 6 3" xfId="7885"/>
    <cellStyle name="la22 2 6 3 2" xfId="7886"/>
    <cellStyle name="la22 2 6 3 2 2" xfId="7887"/>
    <cellStyle name="la22 2 6 3 3" xfId="7888"/>
    <cellStyle name="la22 2 6 3 3 2" xfId="7889"/>
    <cellStyle name="la22 2 6 3 4" xfId="7890"/>
    <cellStyle name="la22 2 6 3 4 2" xfId="7891"/>
    <cellStyle name="la22 2 6 3 5" xfId="7892"/>
    <cellStyle name="la22 2 6 3 5 2" xfId="7893"/>
    <cellStyle name="la22 2 6 3 6" xfId="7894"/>
    <cellStyle name="la22 2 6 4" xfId="7895"/>
    <cellStyle name="la22 2 6 4 2" xfId="7896"/>
    <cellStyle name="la22 2 6 5" xfId="7897"/>
    <cellStyle name="la22 2 6 5 2" xfId="7898"/>
    <cellStyle name="la22 2 6 6" xfId="7899"/>
    <cellStyle name="la22 2 6 6 2" xfId="7900"/>
    <cellStyle name="la22 2 6 7" xfId="7901"/>
    <cellStyle name="la22 2 6 7 2" xfId="7902"/>
    <cellStyle name="la22 2 6 8" xfId="7903"/>
    <cellStyle name="la22 2 7" xfId="7904"/>
    <cellStyle name="la22 2 7 2" xfId="7905"/>
    <cellStyle name="la22 2 7 2 2" xfId="7906"/>
    <cellStyle name="la22 2 7 3" xfId="7907"/>
    <cellStyle name="la22 2 7 3 2" xfId="7908"/>
    <cellStyle name="la22 2 7 4" xfId="7909"/>
    <cellStyle name="la22 2 7 4 2" xfId="7910"/>
    <cellStyle name="la22 2 7 5" xfId="7911"/>
    <cellStyle name="la22 2 7 5 2" xfId="7912"/>
    <cellStyle name="la22 2 7 6" xfId="7913"/>
    <cellStyle name="la22 2 8" xfId="7914"/>
    <cellStyle name="la22 2 8 2" xfId="7915"/>
    <cellStyle name="la22 2 8 2 2" xfId="7916"/>
    <cellStyle name="la22 2 8 3" xfId="7917"/>
    <cellStyle name="la22 2 8 3 2" xfId="7918"/>
    <cellStyle name="la22 2 8 4" xfId="7919"/>
    <cellStyle name="la22 2 8 4 2" xfId="7920"/>
    <cellStyle name="la22 2 8 5" xfId="7921"/>
    <cellStyle name="la22 2 8 5 2" xfId="7922"/>
    <cellStyle name="la22 2 8 6" xfId="7923"/>
    <cellStyle name="la22 2 9" xfId="7924"/>
    <cellStyle name="la22 2 9 2" xfId="7925"/>
    <cellStyle name="la22 20" xfId="7926"/>
    <cellStyle name="la22 20 2" xfId="7927"/>
    <cellStyle name="la22 20 2 2" xfId="7928"/>
    <cellStyle name="la22 20 3" xfId="7929"/>
    <cellStyle name="la22 20 3 2" xfId="7930"/>
    <cellStyle name="la22 20 4" xfId="7931"/>
    <cellStyle name="la22 20 4 2" xfId="7932"/>
    <cellStyle name="la22 20 5" xfId="7933"/>
    <cellStyle name="la22 20 5 2" xfId="7934"/>
    <cellStyle name="la22 20 6" xfId="7935"/>
    <cellStyle name="la22 21" xfId="7936"/>
    <cellStyle name="la22 21 2" xfId="7937"/>
    <cellStyle name="la22 22" xfId="7938"/>
    <cellStyle name="la22 22 2" xfId="7939"/>
    <cellStyle name="la22 23" xfId="7940"/>
    <cellStyle name="la22 23 2" xfId="7941"/>
    <cellStyle name="la22 24" xfId="7942"/>
    <cellStyle name="la22 24 2" xfId="7943"/>
    <cellStyle name="la22 25" xfId="7944"/>
    <cellStyle name="la22 3" xfId="697"/>
    <cellStyle name="la22 3 10" xfId="7945"/>
    <cellStyle name="la22 3 10 2" xfId="7946"/>
    <cellStyle name="la22 3 11" xfId="7947"/>
    <cellStyle name="la22 3 11 2" xfId="7948"/>
    <cellStyle name="la22 3 12" xfId="7949"/>
    <cellStyle name="la22 3 12 2" xfId="7950"/>
    <cellStyle name="la22 3 13" xfId="7951"/>
    <cellStyle name="la22 3 2" xfId="2217"/>
    <cellStyle name="la22 3 2 10" xfId="7952"/>
    <cellStyle name="la22 3 2 2" xfId="2218"/>
    <cellStyle name="la22 3 2 2 2" xfId="7953"/>
    <cellStyle name="la22 3 2 2 2 2" xfId="7954"/>
    <cellStyle name="la22 3 2 2 2 2 2" xfId="7955"/>
    <cellStyle name="la22 3 2 2 2 2 2 2" xfId="7956"/>
    <cellStyle name="la22 3 2 2 2 2 3" xfId="7957"/>
    <cellStyle name="la22 3 2 2 2 2 3 2" xfId="7958"/>
    <cellStyle name="la22 3 2 2 2 2 4" xfId="7959"/>
    <cellStyle name="la22 3 2 2 2 2 4 2" xfId="7960"/>
    <cellStyle name="la22 3 2 2 2 2 5" xfId="7961"/>
    <cellStyle name="la22 3 2 2 2 2 5 2" xfId="7962"/>
    <cellStyle name="la22 3 2 2 2 2 6" xfId="7963"/>
    <cellStyle name="la22 3 2 2 2 3" xfId="7964"/>
    <cellStyle name="la22 3 2 2 2 3 2" xfId="7965"/>
    <cellStyle name="la22 3 2 2 2 3 2 2" xfId="7966"/>
    <cellStyle name="la22 3 2 2 2 3 3" xfId="7967"/>
    <cellStyle name="la22 3 2 2 2 3 3 2" xfId="7968"/>
    <cellStyle name="la22 3 2 2 2 3 4" xfId="7969"/>
    <cellStyle name="la22 3 2 2 2 3 4 2" xfId="7970"/>
    <cellStyle name="la22 3 2 2 2 3 5" xfId="7971"/>
    <cellStyle name="la22 3 2 2 2 3 5 2" xfId="7972"/>
    <cellStyle name="la22 3 2 2 2 3 6" xfId="7973"/>
    <cellStyle name="la22 3 2 2 2 4" xfId="7974"/>
    <cellStyle name="la22 3 2 2 2 4 2" xfId="7975"/>
    <cellStyle name="la22 3 2 2 2 5" xfId="7976"/>
    <cellStyle name="la22 3 2 2 2 5 2" xfId="7977"/>
    <cellStyle name="la22 3 2 2 2 6" xfId="7978"/>
    <cellStyle name="la22 3 2 2 2 6 2" xfId="7979"/>
    <cellStyle name="la22 3 2 2 2 7" xfId="7980"/>
    <cellStyle name="la22 3 2 2 2 7 2" xfId="7981"/>
    <cellStyle name="la22 3 2 2 2 8" xfId="7982"/>
    <cellStyle name="la22 3 2 2 3" xfId="7983"/>
    <cellStyle name="la22 3 2 2 3 2" xfId="7984"/>
    <cellStyle name="la22 3 2 2 3 2 2" xfId="7985"/>
    <cellStyle name="la22 3 2 2 3 3" xfId="7986"/>
    <cellStyle name="la22 3 2 2 3 3 2" xfId="7987"/>
    <cellStyle name="la22 3 2 2 3 4" xfId="7988"/>
    <cellStyle name="la22 3 2 2 3 4 2" xfId="7989"/>
    <cellStyle name="la22 3 2 2 3 5" xfId="7990"/>
    <cellStyle name="la22 3 2 2 3 5 2" xfId="7991"/>
    <cellStyle name="la22 3 2 2 3 6" xfId="7992"/>
    <cellStyle name="la22 3 2 2 4" xfId="7993"/>
    <cellStyle name="la22 3 2 2 4 2" xfId="7994"/>
    <cellStyle name="la22 3 2 2 4 2 2" xfId="7995"/>
    <cellStyle name="la22 3 2 2 4 3" xfId="7996"/>
    <cellStyle name="la22 3 2 2 4 3 2" xfId="7997"/>
    <cellStyle name="la22 3 2 2 4 4" xfId="7998"/>
    <cellStyle name="la22 3 2 2 4 4 2" xfId="7999"/>
    <cellStyle name="la22 3 2 2 4 5" xfId="8000"/>
    <cellStyle name="la22 3 2 2 4 5 2" xfId="8001"/>
    <cellStyle name="la22 3 2 2 4 6" xfId="8002"/>
    <cellStyle name="la22 3 2 2 5" xfId="8003"/>
    <cellStyle name="la22 3 2 2 5 2" xfId="8004"/>
    <cellStyle name="la22 3 2 2 6" xfId="8005"/>
    <cellStyle name="la22 3 2 2 6 2" xfId="8006"/>
    <cellStyle name="la22 3 2 2 7" xfId="8007"/>
    <cellStyle name="la22 3 2 2 7 2" xfId="8008"/>
    <cellStyle name="la22 3 2 2 8" xfId="8009"/>
    <cellStyle name="la22 3 2 2 8 2" xfId="8010"/>
    <cellStyle name="la22 3 2 2 9" xfId="8011"/>
    <cellStyle name="la22 3 2 3" xfId="8012"/>
    <cellStyle name="la22 3 2 3 2" xfId="8013"/>
    <cellStyle name="la22 3 2 3 2 2" xfId="8014"/>
    <cellStyle name="la22 3 2 3 2 2 2" xfId="8015"/>
    <cellStyle name="la22 3 2 3 2 3" xfId="8016"/>
    <cellStyle name="la22 3 2 3 2 3 2" xfId="8017"/>
    <cellStyle name="la22 3 2 3 2 4" xfId="8018"/>
    <cellStyle name="la22 3 2 3 2 4 2" xfId="8019"/>
    <cellStyle name="la22 3 2 3 2 5" xfId="8020"/>
    <cellStyle name="la22 3 2 3 2 5 2" xfId="8021"/>
    <cellStyle name="la22 3 2 3 2 6" xfId="8022"/>
    <cellStyle name="la22 3 2 3 3" xfId="8023"/>
    <cellStyle name="la22 3 2 3 3 2" xfId="8024"/>
    <cellStyle name="la22 3 2 3 3 2 2" xfId="8025"/>
    <cellStyle name="la22 3 2 3 3 3" xfId="8026"/>
    <cellStyle name="la22 3 2 3 3 3 2" xfId="8027"/>
    <cellStyle name="la22 3 2 3 3 4" xfId="8028"/>
    <cellStyle name="la22 3 2 3 3 4 2" xfId="8029"/>
    <cellStyle name="la22 3 2 3 3 5" xfId="8030"/>
    <cellStyle name="la22 3 2 3 3 5 2" xfId="8031"/>
    <cellStyle name="la22 3 2 3 3 6" xfId="8032"/>
    <cellStyle name="la22 3 2 3 4" xfId="8033"/>
    <cellStyle name="la22 3 2 3 4 2" xfId="8034"/>
    <cellStyle name="la22 3 2 3 5" xfId="8035"/>
    <cellStyle name="la22 3 2 3 5 2" xfId="8036"/>
    <cellStyle name="la22 3 2 3 6" xfId="8037"/>
    <cellStyle name="la22 3 2 3 6 2" xfId="8038"/>
    <cellStyle name="la22 3 2 3 7" xfId="8039"/>
    <cellStyle name="la22 3 2 3 7 2" xfId="8040"/>
    <cellStyle name="la22 3 2 3 8" xfId="8041"/>
    <cellStyle name="la22 3 2 4" xfId="8042"/>
    <cellStyle name="la22 3 2 4 2" xfId="8043"/>
    <cellStyle name="la22 3 2 4 2 2" xfId="8044"/>
    <cellStyle name="la22 3 2 4 3" xfId="8045"/>
    <cellStyle name="la22 3 2 4 3 2" xfId="8046"/>
    <cellStyle name="la22 3 2 4 4" xfId="8047"/>
    <cellStyle name="la22 3 2 4 4 2" xfId="8048"/>
    <cellStyle name="la22 3 2 4 5" xfId="8049"/>
    <cellStyle name="la22 3 2 4 5 2" xfId="8050"/>
    <cellStyle name="la22 3 2 4 6" xfId="8051"/>
    <cellStyle name="la22 3 2 5" xfId="8052"/>
    <cellStyle name="la22 3 2 5 2" xfId="8053"/>
    <cellStyle name="la22 3 2 5 2 2" xfId="8054"/>
    <cellStyle name="la22 3 2 5 3" xfId="8055"/>
    <cellStyle name="la22 3 2 5 3 2" xfId="8056"/>
    <cellStyle name="la22 3 2 5 4" xfId="8057"/>
    <cellStyle name="la22 3 2 5 4 2" xfId="8058"/>
    <cellStyle name="la22 3 2 5 5" xfId="8059"/>
    <cellStyle name="la22 3 2 5 5 2" xfId="8060"/>
    <cellStyle name="la22 3 2 5 6" xfId="8061"/>
    <cellStyle name="la22 3 2 6" xfId="8062"/>
    <cellStyle name="la22 3 2 6 2" xfId="8063"/>
    <cellStyle name="la22 3 2 7" xfId="8064"/>
    <cellStyle name="la22 3 2 7 2" xfId="8065"/>
    <cellStyle name="la22 3 2 8" xfId="8066"/>
    <cellStyle name="la22 3 2 8 2" xfId="8067"/>
    <cellStyle name="la22 3 2 9" xfId="8068"/>
    <cellStyle name="la22 3 2 9 2" xfId="8069"/>
    <cellStyle name="la22 3 3" xfId="2219"/>
    <cellStyle name="la22 3 3 10" xfId="8070"/>
    <cellStyle name="la22 3 3 2" xfId="2220"/>
    <cellStyle name="la22 3 3 2 2" xfId="8071"/>
    <cellStyle name="la22 3 3 2 2 2" xfId="8072"/>
    <cellStyle name="la22 3 3 2 2 2 2" xfId="8073"/>
    <cellStyle name="la22 3 3 2 2 2 2 2" xfId="8074"/>
    <cellStyle name="la22 3 3 2 2 2 3" xfId="8075"/>
    <cellStyle name="la22 3 3 2 2 2 3 2" xfId="8076"/>
    <cellStyle name="la22 3 3 2 2 2 4" xfId="8077"/>
    <cellStyle name="la22 3 3 2 2 2 4 2" xfId="8078"/>
    <cellStyle name="la22 3 3 2 2 2 5" xfId="8079"/>
    <cellStyle name="la22 3 3 2 2 2 5 2" xfId="8080"/>
    <cellStyle name="la22 3 3 2 2 2 6" xfId="8081"/>
    <cellStyle name="la22 3 3 2 2 3" xfId="8082"/>
    <cellStyle name="la22 3 3 2 2 3 2" xfId="8083"/>
    <cellStyle name="la22 3 3 2 2 3 2 2" xfId="8084"/>
    <cellStyle name="la22 3 3 2 2 3 3" xfId="8085"/>
    <cellStyle name="la22 3 3 2 2 3 3 2" xfId="8086"/>
    <cellStyle name="la22 3 3 2 2 3 4" xfId="8087"/>
    <cellStyle name="la22 3 3 2 2 3 4 2" xfId="8088"/>
    <cellStyle name="la22 3 3 2 2 3 5" xfId="8089"/>
    <cellStyle name="la22 3 3 2 2 3 5 2" xfId="8090"/>
    <cellStyle name="la22 3 3 2 2 3 6" xfId="8091"/>
    <cellStyle name="la22 3 3 2 2 4" xfId="8092"/>
    <cellStyle name="la22 3 3 2 2 4 2" xfId="8093"/>
    <cellStyle name="la22 3 3 2 2 5" xfId="8094"/>
    <cellStyle name="la22 3 3 2 2 5 2" xfId="8095"/>
    <cellStyle name="la22 3 3 2 2 6" xfId="8096"/>
    <cellStyle name="la22 3 3 2 2 6 2" xfId="8097"/>
    <cellStyle name="la22 3 3 2 2 7" xfId="8098"/>
    <cellStyle name="la22 3 3 2 2 7 2" xfId="8099"/>
    <cellStyle name="la22 3 3 2 2 8" xfId="8100"/>
    <cellStyle name="la22 3 3 2 3" xfId="8101"/>
    <cellStyle name="la22 3 3 2 3 2" xfId="8102"/>
    <cellStyle name="la22 3 3 2 3 2 2" xfId="8103"/>
    <cellStyle name="la22 3 3 2 3 3" xfId="8104"/>
    <cellStyle name="la22 3 3 2 3 3 2" xfId="8105"/>
    <cellStyle name="la22 3 3 2 3 4" xfId="8106"/>
    <cellStyle name="la22 3 3 2 3 4 2" xfId="8107"/>
    <cellStyle name="la22 3 3 2 3 5" xfId="8108"/>
    <cellStyle name="la22 3 3 2 3 5 2" xfId="8109"/>
    <cellStyle name="la22 3 3 2 3 6" xfId="8110"/>
    <cellStyle name="la22 3 3 2 4" xfId="8111"/>
    <cellStyle name="la22 3 3 2 4 2" xfId="8112"/>
    <cellStyle name="la22 3 3 2 4 2 2" xfId="8113"/>
    <cellStyle name="la22 3 3 2 4 3" xfId="8114"/>
    <cellStyle name="la22 3 3 2 4 3 2" xfId="8115"/>
    <cellStyle name="la22 3 3 2 4 4" xfId="8116"/>
    <cellStyle name="la22 3 3 2 4 4 2" xfId="8117"/>
    <cellStyle name="la22 3 3 2 4 5" xfId="8118"/>
    <cellStyle name="la22 3 3 2 4 5 2" xfId="8119"/>
    <cellStyle name="la22 3 3 2 4 6" xfId="8120"/>
    <cellStyle name="la22 3 3 2 5" xfId="8121"/>
    <cellStyle name="la22 3 3 2 5 2" xfId="8122"/>
    <cellStyle name="la22 3 3 2 6" xfId="8123"/>
    <cellStyle name="la22 3 3 2 6 2" xfId="8124"/>
    <cellStyle name="la22 3 3 2 7" xfId="8125"/>
    <cellStyle name="la22 3 3 2 7 2" xfId="8126"/>
    <cellStyle name="la22 3 3 2 8" xfId="8127"/>
    <cellStyle name="la22 3 3 2 8 2" xfId="8128"/>
    <cellStyle name="la22 3 3 2 9" xfId="8129"/>
    <cellStyle name="la22 3 3 3" xfId="8130"/>
    <cellStyle name="la22 3 3 3 2" xfId="8131"/>
    <cellStyle name="la22 3 3 3 2 2" xfId="8132"/>
    <cellStyle name="la22 3 3 3 2 2 2" xfId="8133"/>
    <cellStyle name="la22 3 3 3 2 3" xfId="8134"/>
    <cellStyle name="la22 3 3 3 2 3 2" xfId="8135"/>
    <cellStyle name="la22 3 3 3 2 4" xfId="8136"/>
    <cellStyle name="la22 3 3 3 2 4 2" xfId="8137"/>
    <cellStyle name="la22 3 3 3 2 5" xfId="8138"/>
    <cellStyle name="la22 3 3 3 2 5 2" xfId="8139"/>
    <cellStyle name="la22 3 3 3 2 6" xfId="8140"/>
    <cellStyle name="la22 3 3 3 3" xfId="8141"/>
    <cellStyle name="la22 3 3 3 3 2" xfId="8142"/>
    <cellStyle name="la22 3 3 3 3 2 2" xfId="8143"/>
    <cellStyle name="la22 3 3 3 3 3" xfId="8144"/>
    <cellStyle name="la22 3 3 3 3 3 2" xfId="8145"/>
    <cellStyle name="la22 3 3 3 3 4" xfId="8146"/>
    <cellStyle name="la22 3 3 3 3 4 2" xfId="8147"/>
    <cellStyle name="la22 3 3 3 3 5" xfId="8148"/>
    <cellStyle name="la22 3 3 3 3 5 2" xfId="8149"/>
    <cellStyle name="la22 3 3 3 3 6" xfId="8150"/>
    <cellStyle name="la22 3 3 3 4" xfId="8151"/>
    <cellStyle name="la22 3 3 3 4 2" xfId="8152"/>
    <cellStyle name="la22 3 3 3 5" xfId="8153"/>
    <cellStyle name="la22 3 3 3 5 2" xfId="8154"/>
    <cellStyle name="la22 3 3 3 6" xfId="8155"/>
    <cellStyle name="la22 3 3 3 6 2" xfId="8156"/>
    <cellStyle name="la22 3 3 3 7" xfId="8157"/>
    <cellStyle name="la22 3 3 3 7 2" xfId="8158"/>
    <cellStyle name="la22 3 3 3 8" xfId="8159"/>
    <cellStyle name="la22 3 3 4" xfId="8160"/>
    <cellStyle name="la22 3 3 4 2" xfId="8161"/>
    <cellStyle name="la22 3 3 4 2 2" xfId="8162"/>
    <cellStyle name="la22 3 3 4 3" xfId="8163"/>
    <cellStyle name="la22 3 3 4 3 2" xfId="8164"/>
    <cellStyle name="la22 3 3 4 4" xfId="8165"/>
    <cellStyle name="la22 3 3 4 4 2" xfId="8166"/>
    <cellStyle name="la22 3 3 4 5" xfId="8167"/>
    <cellStyle name="la22 3 3 4 5 2" xfId="8168"/>
    <cellStyle name="la22 3 3 4 6" xfId="8169"/>
    <cellStyle name="la22 3 3 5" xfId="8170"/>
    <cellStyle name="la22 3 3 5 2" xfId="8171"/>
    <cellStyle name="la22 3 3 5 2 2" xfId="8172"/>
    <cellStyle name="la22 3 3 5 3" xfId="8173"/>
    <cellStyle name="la22 3 3 5 3 2" xfId="8174"/>
    <cellStyle name="la22 3 3 5 4" xfId="8175"/>
    <cellStyle name="la22 3 3 5 4 2" xfId="8176"/>
    <cellStyle name="la22 3 3 5 5" xfId="8177"/>
    <cellStyle name="la22 3 3 5 5 2" xfId="8178"/>
    <cellStyle name="la22 3 3 5 6" xfId="8179"/>
    <cellStyle name="la22 3 3 6" xfId="8180"/>
    <cellStyle name="la22 3 3 6 2" xfId="8181"/>
    <cellStyle name="la22 3 3 7" xfId="8182"/>
    <cellStyle name="la22 3 3 7 2" xfId="8183"/>
    <cellStyle name="la22 3 3 8" xfId="8184"/>
    <cellStyle name="la22 3 3 8 2" xfId="8185"/>
    <cellStyle name="la22 3 3 9" xfId="8186"/>
    <cellStyle name="la22 3 3 9 2" xfId="8187"/>
    <cellStyle name="la22 3 4" xfId="2221"/>
    <cellStyle name="la22 3 4 10" xfId="8188"/>
    <cellStyle name="la22 3 4 2" xfId="2222"/>
    <cellStyle name="la22 3 4 2 2" xfId="8189"/>
    <cellStyle name="la22 3 4 2 2 2" xfId="8190"/>
    <cellStyle name="la22 3 4 2 2 2 2" xfId="8191"/>
    <cellStyle name="la22 3 4 2 2 2 2 2" xfId="8192"/>
    <cellStyle name="la22 3 4 2 2 2 3" xfId="8193"/>
    <cellStyle name="la22 3 4 2 2 2 3 2" xfId="8194"/>
    <cellStyle name="la22 3 4 2 2 2 4" xfId="8195"/>
    <cellStyle name="la22 3 4 2 2 2 4 2" xfId="8196"/>
    <cellStyle name="la22 3 4 2 2 2 5" xfId="8197"/>
    <cellStyle name="la22 3 4 2 2 2 5 2" xfId="8198"/>
    <cellStyle name="la22 3 4 2 2 2 6" xfId="8199"/>
    <cellStyle name="la22 3 4 2 2 3" xfId="8200"/>
    <cellStyle name="la22 3 4 2 2 3 2" xfId="8201"/>
    <cellStyle name="la22 3 4 2 2 3 2 2" xfId="8202"/>
    <cellStyle name="la22 3 4 2 2 3 3" xfId="8203"/>
    <cellStyle name="la22 3 4 2 2 3 3 2" xfId="8204"/>
    <cellStyle name="la22 3 4 2 2 3 4" xfId="8205"/>
    <cellStyle name="la22 3 4 2 2 3 4 2" xfId="8206"/>
    <cellStyle name="la22 3 4 2 2 3 5" xfId="8207"/>
    <cellStyle name="la22 3 4 2 2 3 5 2" xfId="8208"/>
    <cellStyle name="la22 3 4 2 2 3 6" xfId="8209"/>
    <cellStyle name="la22 3 4 2 2 4" xfId="8210"/>
    <cellStyle name="la22 3 4 2 2 4 2" xfId="8211"/>
    <cellStyle name="la22 3 4 2 2 5" xfId="8212"/>
    <cellStyle name="la22 3 4 2 2 5 2" xfId="8213"/>
    <cellStyle name="la22 3 4 2 2 6" xfId="8214"/>
    <cellStyle name="la22 3 4 2 2 6 2" xfId="8215"/>
    <cellStyle name="la22 3 4 2 2 7" xfId="8216"/>
    <cellStyle name="la22 3 4 2 2 7 2" xfId="8217"/>
    <cellStyle name="la22 3 4 2 2 8" xfId="8218"/>
    <cellStyle name="la22 3 4 2 3" xfId="8219"/>
    <cellStyle name="la22 3 4 2 3 2" xfId="8220"/>
    <cellStyle name="la22 3 4 2 3 2 2" xfId="8221"/>
    <cellStyle name="la22 3 4 2 3 3" xfId="8222"/>
    <cellStyle name="la22 3 4 2 3 3 2" xfId="8223"/>
    <cellStyle name="la22 3 4 2 3 4" xfId="8224"/>
    <cellStyle name="la22 3 4 2 3 4 2" xfId="8225"/>
    <cellStyle name="la22 3 4 2 3 5" xfId="8226"/>
    <cellStyle name="la22 3 4 2 3 5 2" xfId="8227"/>
    <cellStyle name="la22 3 4 2 3 6" xfId="8228"/>
    <cellStyle name="la22 3 4 2 4" xfId="8229"/>
    <cellStyle name="la22 3 4 2 4 2" xfId="8230"/>
    <cellStyle name="la22 3 4 2 4 2 2" xfId="8231"/>
    <cellStyle name="la22 3 4 2 4 3" xfId="8232"/>
    <cellStyle name="la22 3 4 2 4 3 2" xfId="8233"/>
    <cellStyle name="la22 3 4 2 4 4" xfId="8234"/>
    <cellStyle name="la22 3 4 2 4 4 2" xfId="8235"/>
    <cellStyle name="la22 3 4 2 4 5" xfId="8236"/>
    <cellStyle name="la22 3 4 2 4 5 2" xfId="8237"/>
    <cellStyle name="la22 3 4 2 4 6" xfId="8238"/>
    <cellStyle name="la22 3 4 2 5" xfId="8239"/>
    <cellStyle name="la22 3 4 2 5 2" xfId="8240"/>
    <cellStyle name="la22 3 4 2 6" xfId="8241"/>
    <cellStyle name="la22 3 4 2 6 2" xfId="8242"/>
    <cellStyle name="la22 3 4 2 7" xfId="8243"/>
    <cellStyle name="la22 3 4 2 7 2" xfId="8244"/>
    <cellStyle name="la22 3 4 2 8" xfId="8245"/>
    <cellStyle name="la22 3 4 2 8 2" xfId="8246"/>
    <cellStyle name="la22 3 4 2 9" xfId="8247"/>
    <cellStyle name="la22 3 4 3" xfId="8248"/>
    <cellStyle name="la22 3 4 3 2" xfId="8249"/>
    <cellStyle name="la22 3 4 3 2 2" xfId="8250"/>
    <cellStyle name="la22 3 4 3 2 2 2" xfId="8251"/>
    <cellStyle name="la22 3 4 3 2 3" xfId="8252"/>
    <cellStyle name="la22 3 4 3 2 3 2" xfId="8253"/>
    <cellStyle name="la22 3 4 3 2 4" xfId="8254"/>
    <cellStyle name="la22 3 4 3 2 4 2" xfId="8255"/>
    <cellStyle name="la22 3 4 3 2 5" xfId="8256"/>
    <cellStyle name="la22 3 4 3 2 5 2" xfId="8257"/>
    <cellStyle name="la22 3 4 3 2 6" xfId="8258"/>
    <cellStyle name="la22 3 4 3 3" xfId="8259"/>
    <cellStyle name="la22 3 4 3 3 2" xfId="8260"/>
    <cellStyle name="la22 3 4 3 3 2 2" xfId="8261"/>
    <cellStyle name="la22 3 4 3 3 3" xfId="8262"/>
    <cellStyle name="la22 3 4 3 3 3 2" xfId="8263"/>
    <cellStyle name="la22 3 4 3 3 4" xfId="8264"/>
    <cellStyle name="la22 3 4 3 3 4 2" xfId="8265"/>
    <cellStyle name="la22 3 4 3 3 5" xfId="8266"/>
    <cellStyle name="la22 3 4 3 3 5 2" xfId="8267"/>
    <cellStyle name="la22 3 4 3 3 6" xfId="8268"/>
    <cellStyle name="la22 3 4 3 4" xfId="8269"/>
    <cellStyle name="la22 3 4 3 4 2" xfId="8270"/>
    <cellStyle name="la22 3 4 3 5" xfId="8271"/>
    <cellStyle name="la22 3 4 3 5 2" xfId="8272"/>
    <cellStyle name="la22 3 4 3 6" xfId="8273"/>
    <cellStyle name="la22 3 4 3 6 2" xfId="8274"/>
    <cellStyle name="la22 3 4 3 7" xfId="8275"/>
    <cellStyle name="la22 3 4 3 7 2" xfId="8276"/>
    <cellStyle name="la22 3 4 3 8" xfId="8277"/>
    <cellStyle name="la22 3 4 4" xfId="8278"/>
    <cellStyle name="la22 3 4 4 2" xfId="8279"/>
    <cellStyle name="la22 3 4 4 2 2" xfId="8280"/>
    <cellStyle name="la22 3 4 4 3" xfId="8281"/>
    <cellStyle name="la22 3 4 4 3 2" xfId="8282"/>
    <cellStyle name="la22 3 4 4 4" xfId="8283"/>
    <cellStyle name="la22 3 4 4 4 2" xfId="8284"/>
    <cellStyle name="la22 3 4 4 5" xfId="8285"/>
    <cellStyle name="la22 3 4 4 5 2" xfId="8286"/>
    <cellStyle name="la22 3 4 4 6" xfId="8287"/>
    <cellStyle name="la22 3 4 5" xfId="8288"/>
    <cellStyle name="la22 3 4 5 2" xfId="8289"/>
    <cellStyle name="la22 3 4 5 2 2" xfId="8290"/>
    <cellStyle name="la22 3 4 5 3" xfId="8291"/>
    <cellStyle name="la22 3 4 5 3 2" xfId="8292"/>
    <cellStyle name="la22 3 4 5 4" xfId="8293"/>
    <cellStyle name="la22 3 4 5 4 2" xfId="8294"/>
    <cellStyle name="la22 3 4 5 5" xfId="8295"/>
    <cellStyle name="la22 3 4 5 5 2" xfId="8296"/>
    <cellStyle name="la22 3 4 5 6" xfId="8297"/>
    <cellStyle name="la22 3 4 6" xfId="8298"/>
    <cellStyle name="la22 3 4 6 2" xfId="8299"/>
    <cellStyle name="la22 3 4 7" xfId="8300"/>
    <cellStyle name="la22 3 4 7 2" xfId="8301"/>
    <cellStyle name="la22 3 4 8" xfId="8302"/>
    <cellStyle name="la22 3 4 8 2" xfId="8303"/>
    <cellStyle name="la22 3 4 9" xfId="8304"/>
    <cellStyle name="la22 3 4 9 2" xfId="8305"/>
    <cellStyle name="la22 3 5" xfId="2223"/>
    <cellStyle name="la22 3 5 2" xfId="8306"/>
    <cellStyle name="la22 3 5 2 2" xfId="8307"/>
    <cellStyle name="la22 3 5 2 2 2" xfId="8308"/>
    <cellStyle name="la22 3 5 2 2 2 2" xfId="8309"/>
    <cellStyle name="la22 3 5 2 2 3" xfId="8310"/>
    <cellStyle name="la22 3 5 2 2 3 2" xfId="8311"/>
    <cellStyle name="la22 3 5 2 2 4" xfId="8312"/>
    <cellStyle name="la22 3 5 2 2 4 2" xfId="8313"/>
    <cellStyle name="la22 3 5 2 2 5" xfId="8314"/>
    <cellStyle name="la22 3 5 2 2 5 2" xfId="8315"/>
    <cellStyle name="la22 3 5 2 2 6" xfId="8316"/>
    <cellStyle name="la22 3 5 2 3" xfId="8317"/>
    <cellStyle name="la22 3 5 2 3 2" xfId="8318"/>
    <cellStyle name="la22 3 5 2 3 2 2" xfId="8319"/>
    <cellStyle name="la22 3 5 2 3 3" xfId="8320"/>
    <cellStyle name="la22 3 5 2 3 3 2" xfId="8321"/>
    <cellStyle name="la22 3 5 2 3 4" xfId="8322"/>
    <cellStyle name="la22 3 5 2 3 4 2" xfId="8323"/>
    <cellStyle name="la22 3 5 2 3 5" xfId="8324"/>
    <cellStyle name="la22 3 5 2 3 5 2" xfId="8325"/>
    <cellStyle name="la22 3 5 2 3 6" xfId="8326"/>
    <cellStyle name="la22 3 5 2 4" xfId="8327"/>
    <cellStyle name="la22 3 5 2 4 2" xfId="8328"/>
    <cellStyle name="la22 3 5 2 5" xfId="8329"/>
    <cellStyle name="la22 3 5 2 5 2" xfId="8330"/>
    <cellStyle name="la22 3 5 2 6" xfId="8331"/>
    <cellStyle name="la22 3 5 2 6 2" xfId="8332"/>
    <cellStyle name="la22 3 5 2 7" xfId="8333"/>
    <cellStyle name="la22 3 5 2 7 2" xfId="8334"/>
    <cellStyle name="la22 3 5 2 8" xfId="8335"/>
    <cellStyle name="la22 3 5 3" xfId="8336"/>
    <cellStyle name="la22 3 5 3 2" xfId="8337"/>
    <cellStyle name="la22 3 5 3 2 2" xfId="8338"/>
    <cellStyle name="la22 3 5 3 3" xfId="8339"/>
    <cellStyle name="la22 3 5 3 3 2" xfId="8340"/>
    <cellStyle name="la22 3 5 3 4" xfId="8341"/>
    <cellStyle name="la22 3 5 3 4 2" xfId="8342"/>
    <cellStyle name="la22 3 5 3 5" xfId="8343"/>
    <cellStyle name="la22 3 5 3 5 2" xfId="8344"/>
    <cellStyle name="la22 3 5 3 6" xfId="8345"/>
    <cellStyle name="la22 3 5 4" xfId="8346"/>
    <cellStyle name="la22 3 5 4 2" xfId="8347"/>
    <cellStyle name="la22 3 5 4 2 2" xfId="8348"/>
    <cellStyle name="la22 3 5 4 3" xfId="8349"/>
    <cellStyle name="la22 3 5 4 3 2" xfId="8350"/>
    <cellStyle name="la22 3 5 4 4" xfId="8351"/>
    <cellStyle name="la22 3 5 4 4 2" xfId="8352"/>
    <cellStyle name="la22 3 5 4 5" xfId="8353"/>
    <cellStyle name="la22 3 5 4 5 2" xfId="8354"/>
    <cellStyle name="la22 3 5 4 6" xfId="8355"/>
    <cellStyle name="la22 3 5 5" xfId="8356"/>
    <cellStyle name="la22 3 5 5 2" xfId="8357"/>
    <cellStyle name="la22 3 5 6" xfId="8358"/>
    <cellStyle name="la22 3 5 6 2" xfId="8359"/>
    <cellStyle name="la22 3 5 7" xfId="8360"/>
    <cellStyle name="la22 3 5 7 2" xfId="8361"/>
    <cellStyle name="la22 3 5 8" xfId="8362"/>
    <cellStyle name="la22 3 5 8 2" xfId="8363"/>
    <cellStyle name="la22 3 5 9" xfId="8364"/>
    <cellStyle name="la22 3 6" xfId="8365"/>
    <cellStyle name="la22 3 6 2" xfId="8366"/>
    <cellStyle name="la22 3 6 2 2" xfId="8367"/>
    <cellStyle name="la22 3 6 2 2 2" xfId="8368"/>
    <cellStyle name="la22 3 6 2 3" xfId="8369"/>
    <cellStyle name="la22 3 6 2 3 2" xfId="8370"/>
    <cellStyle name="la22 3 6 2 4" xfId="8371"/>
    <cellStyle name="la22 3 6 2 4 2" xfId="8372"/>
    <cellStyle name="la22 3 6 2 5" xfId="8373"/>
    <cellStyle name="la22 3 6 2 5 2" xfId="8374"/>
    <cellStyle name="la22 3 6 2 6" xfId="8375"/>
    <cellStyle name="la22 3 6 3" xfId="8376"/>
    <cellStyle name="la22 3 6 3 2" xfId="8377"/>
    <cellStyle name="la22 3 6 3 2 2" xfId="8378"/>
    <cellStyle name="la22 3 6 3 3" xfId="8379"/>
    <cellStyle name="la22 3 6 3 3 2" xfId="8380"/>
    <cellStyle name="la22 3 6 3 4" xfId="8381"/>
    <cellStyle name="la22 3 6 3 4 2" xfId="8382"/>
    <cellStyle name="la22 3 6 3 5" xfId="8383"/>
    <cellStyle name="la22 3 6 3 5 2" xfId="8384"/>
    <cellStyle name="la22 3 6 3 6" xfId="8385"/>
    <cellStyle name="la22 3 6 4" xfId="8386"/>
    <cellStyle name="la22 3 6 4 2" xfId="8387"/>
    <cellStyle name="la22 3 6 5" xfId="8388"/>
    <cellStyle name="la22 3 6 5 2" xfId="8389"/>
    <cellStyle name="la22 3 6 6" xfId="8390"/>
    <cellStyle name="la22 3 6 6 2" xfId="8391"/>
    <cellStyle name="la22 3 6 7" xfId="8392"/>
    <cellStyle name="la22 3 6 7 2" xfId="8393"/>
    <cellStyle name="la22 3 6 8" xfId="8394"/>
    <cellStyle name="la22 3 7" xfId="8395"/>
    <cellStyle name="la22 3 7 2" xfId="8396"/>
    <cellStyle name="la22 3 7 2 2" xfId="8397"/>
    <cellStyle name="la22 3 7 3" xfId="8398"/>
    <cellStyle name="la22 3 7 3 2" xfId="8399"/>
    <cellStyle name="la22 3 7 4" xfId="8400"/>
    <cellStyle name="la22 3 7 4 2" xfId="8401"/>
    <cellStyle name="la22 3 7 5" xfId="8402"/>
    <cellStyle name="la22 3 7 5 2" xfId="8403"/>
    <cellStyle name="la22 3 7 6" xfId="8404"/>
    <cellStyle name="la22 3 8" xfId="8405"/>
    <cellStyle name="la22 3 8 2" xfId="8406"/>
    <cellStyle name="la22 3 8 2 2" xfId="8407"/>
    <cellStyle name="la22 3 8 3" xfId="8408"/>
    <cellStyle name="la22 3 8 3 2" xfId="8409"/>
    <cellStyle name="la22 3 8 4" xfId="8410"/>
    <cellStyle name="la22 3 8 4 2" xfId="8411"/>
    <cellStyle name="la22 3 8 5" xfId="8412"/>
    <cellStyle name="la22 3 8 5 2" xfId="8413"/>
    <cellStyle name="la22 3 8 6" xfId="8414"/>
    <cellStyle name="la22 3 9" xfId="8415"/>
    <cellStyle name="la22 3 9 2" xfId="8416"/>
    <cellStyle name="la22 4" xfId="698"/>
    <cellStyle name="la22 4 10" xfId="8417"/>
    <cellStyle name="la22 4 10 2" xfId="8418"/>
    <cellStyle name="la22 4 11" xfId="8419"/>
    <cellStyle name="la22 4 11 2" xfId="8420"/>
    <cellStyle name="la22 4 12" xfId="8421"/>
    <cellStyle name="la22 4 12 2" xfId="8422"/>
    <cellStyle name="la22 4 13" xfId="8423"/>
    <cellStyle name="la22 4 2" xfId="2224"/>
    <cellStyle name="la22 4 2 10" xfId="8424"/>
    <cellStyle name="la22 4 2 2" xfId="2225"/>
    <cellStyle name="la22 4 2 2 2" xfId="8425"/>
    <cellStyle name="la22 4 2 2 2 2" xfId="8426"/>
    <cellStyle name="la22 4 2 2 2 2 2" xfId="8427"/>
    <cellStyle name="la22 4 2 2 2 2 2 2" xfId="8428"/>
    <cellStyle name="la22 4 2 2 2 2 3" xfId="8429"/>
    <cellStyle name="la22 4 2 2 2 2 3 2" xfId="8430"/>
    <cellStyle name="la22 4 2 2 2 2 4" xfId="8431"/>
    <cellStyle name="la22 4 2 2 2 2 4 2" xfId="8432"/>
    <cellStyle name="la22 4 2 2 2 2 5" xfId="8433"/>
    <cellStyle name="la22 4 2 2 2 2 5 2" xfId="8434"/>
    <cellStyle name="la22 4 2 2 2 2 6" xfId="8435"/>
    <cellStyle name="la22 4 2 2 2 3" xfId="8436"/>
    <cellStyle name="la22 4 2 2 2 3 2" xfId="8437"/>
    <cellStyle name="la22 4 2 2 2 3 2 2" xfId="8438"/>
    <cellStyle name="la22 4 2 2 2 3 3" xfId="8439"/>
    <cellStyle name="la22 4 2 2 2 3 3 2" xfId="8440"/>
    <cellStyle name="la22 4 2 2 2 3 4" xfId="8441"/>
    <cellStyle name="la22 4 2 2 2 3 4 2" xfId="8442"/>
    <cellStyle name="la22 4 2 2 2 3 5" xfId="8443"/>
    <cellStyle name="la22 4 2 2 2 3 5 2" xfId="8444"/>
    <cellStyle name="la22 4 2 2 2 3 6" xfId="8445"/>
    <cellStyle name="la22 4 2 2 2 4" xfId="8446"/>
    <cellStyle name="la22 4 2 2 2 4 2" xfId="8447"/>
    <cellStyle name="la22 4 2 2 2 5" xfId="8448"/>
    <cellStyle name="la22 4 2 2 2 5 2" xfId="8449"/>
    <cellStyle name="la22 4 2 2 2 6" xfId="8450"/>
    <cellStyle name="la22 4 2 2 2 6 2" xfId="8451"/>
    <cellStyle name="la22 4 2 2 2 7" xfId="8452"/>
    <cellStyle name="la22 4 2 2 2 7 2" xfId="8453"/>
    <cellStyle name="la22 4 2 2 2 8" xfId="8454"/>
    <cellStyle name="la22 4 2 2 3" xfId="8455"/>
    <cellStyle name="la22 4 2 2 3 2" xfId="8456"/>
    <cellStyle name="la22 4 2 2 3 2 2" xfId="8457"/>
    <cellStyle name="la22 4 2 2 3 3" xfId="8458"/>
    <cellStyle name="la22 4 2 2 3 3 2" xfId="8459"/>
    <cellStyle name="la22 4 2 2 3 4" xfId="8460"/>
    <cellStyle name="la22 4 2 2 3 4 2" xfId="8461"/>
    <cellStyle name="la22 4 2 2 3 5" xfId="8462"/>
    <cellStyle name="la22 4 2 2 3 5 2" xfId="8463"/>
    <cellStyle name="la22 4 2 2 3 6" xfId="8464"/>
    <cellStyle name="la22 4 2 2 4" xfId="8465"/>
    <cellStyle name="la22 4 2 2 4 2" xfId="8466"/>
    <cellStyle name="la22 4 2 2 4 2 2" xfId="8467"/>
    <cellStyle name="la22 4 2 2 4 3" xfId="8468"/>
    <cellStyle name="la22 4 2 2 4 3 2" xfId="8469"/>
    <cellStyle name="la22 4 2 2 4 4" xfId="8470"/>
    <cellStyle name="la22 4 2 2 4 4 2" xfId="8471"/>
    <cellStyle name="la22 4 2 2 4 5" xfId="8472"/>
    <cellStyle name="la22 4 2 2 4 5 2" xfId="8473"/>
    <cellStyle name="la22 4 2 2 4 6" xfId="8474"/>
    <cellStyle name="la22 4 2 2 5" xfId="8475"/>
    <cellStyle name="la22 4 2 2 5 2" xfId="8476"/>
    <cellStyle name="la22 4 2 2 6" xfId="8477"/>
    <cellStyle name="la22 4 2 2 6 2" xfId="8478"/>
    <cellStyle name="la22 4 2 2 7" xfId="8479"/>
    <cellStyle name="la22 4 2 2 7 2" xfId="8480"/>
    <cellStyle name="la22 4 2 2 8" xfId="8481"/>
    <cellStyle name="la22 4 2 2 8 2" xfId="8482"/>
    <cellStyle name="la22 4 2 2 9" xfId="8483"/>
    <cellStyle name="la22 4 2 3" xfId="8484"/>
    <cellStyle name="la22 4 2 3 2" xfId="8485"/>
    <cellStyle name="la22 4 2 3 2 2" xfId="8486"/>
    <cellStyle name="la22 4 2 3 2 2 2" xfId="8487"/>
    <cellStyle name="la22 4 2 3 2 3" xfId="8488"/>
    <cellStyle name="la22 4 2 3 2 3 2" xfId="8489"/>
    <cellStyle name="la22 4 2 3 2 4" xfId="8490"/>
    <cellStyle name="la22 4 2 3 2 4 2" xfId="8491"/>
    <cellStyle name="la22 4 2 3 2 5" xfId="8492"/>
    <cellStyle name="la22 4 2 3 2 5 2" xfId="8493"/>
    <cellStyle name="la22 4 2 3 2 6" xfId="8494"/>
    <cellStyle name="la22 4 2 3 3" xfId="8495"/>
    <cellStyle name="la22 4 2 3 3 2" xfId="8496"/>
    <cellStyle name="la22 4 2 3 3 2 2" xfId="8497"/>
    <cellStyle name="la22 4 2 3 3 3" xfId="8498"/>
    <cellStyle name="la22 4 2 3 3 3 2" xfId="8499"/>
    <cellStyle name="la22 4 2 3 3 4" xfId="8500"/>
    <cellStyle name="la22 4 2 3 3 4 2" xfId="8501"/>
    <cellStyle name="la22 4 2 3 3 5" xfId="8502"/>
    <cellStyle name="la22 4 2 3 3 5 2" xfId="8503"/>
    <cellStyle name="la22 4 2 3 3 6" xfId="8504"/>
    <cellStyle name="la22 4 2 3 4" xfId="8505"/>
    <cellStyle name="la22 4 2 3 4 2" xfId="8506"/>
    <cellStyle name="la22 4 2 3 5" xfId="8507"/>
    <cellStyle name="la22 4 2 3 5 2" xfId="8508"/>
    <cellStyle name="la22 4 2 3 6" xfId="8509"/>
    <cellStyle name="la22 4 2 3 6 2" xfId="8510"/>
    <cellStyle name="la22 4 2 3 7" xfId="8511"/>
    <cellStyle name="la22 4 2 3 7 2" xfId="8512"/>
    <cellStyle name="la22 4 2 3 8" xfId="8513"/>
    <cellStyle name="la22 4 2 4" xfId="8514"/>
    <cellStyle name="la22 4 2 4 2" xfId="8515"/>
    <cellStyle name="la22 4 2 4 2 2" xfId="8516"/>
    <cellStyle name="la22 4 2 4 3" xfId="8517"/>
    <cellStyle name="la22 4 2 4 3 2" xfId="8518"/>
    <cellStyle name="la22 4 2 4 4" xfId="8519"/>
    <cellStyle name="la22 4 2 4 4 2" xfId="8520"/>
    <cellStyle name="la22 4 2 4 5" xfId="8521"/>
    <cellStyle name="la22 4 2 4 5 2" xfId="8522"/>
    <cellStyle name="la22 4 2 4 6" xfId="8523"/>
    <cellStyle name="la22 4 2 5" xfId="8524"/>
    <cellStyle name="la22 4 2 5 2" xfId="8525"/>
    <cellStyle name="la22 4 2 5 2 2" xfId="8526"/>
    <cellStyle name="la22 4 2 5 3" xfId="8527"/>
    <cellStyle name="la22 4 2 5 3 2" xfId="8528"/>
    <cellStyle name="la22 4 2 5 4" xfId="8529"/>
    <cellStyle name="la22 4 2 5 4 2" xfId="8530"/>
    <cellStyle name="la22 4 2 5 5" xfId="8531"/>
    <cellStyle name="la22 4 2 5 5 2" xfId="8532"/>
    <cellStyle name="la22 4 2 5 6" xfId="8533"/>
    <cellStyle name="la22 4 2 6" xfId="8534"/>
    <cellStyle name="la22 4 2 6 2" xfId="8535"/>
    <cellStyle name="la22 4 2 7" xfId="8536"/>
    <cellStyle name="la22 4 2 7 2" xfId="8537"/>
    <cellStyle name="la22 4 2 8" xfId="8538"/>
    <cellStyle name="la22 4 2 8 2" xfId="8539"/>
    <cellStyle name="la22 4 2 9" xfId="8540"/>
    <cellStyle name="la22 4 2 9 2" xfId="8541"/>
    <cellStyle name="la22 4 3" xfId="2226"/>
    <cellStyle name="la22 4 3 10" xfId="8542"/>
    <cellStyle name="la22 4 3 2" xfId="2227"/>
    <cellStyle name="la22 4 3 2 2" xfId="8543"/>
    <cellStyle name="la22 4 3 2 2 2" xfId="8544"/>
    <cellStyle name="la22 4 3 2 2 2 2" xfId="8545"/>
    <cellStyle name="la22 4 3 2 2 2 2 2" xfId="8546"/>
    <cellStyle name="la22 4 3 2 2 2 3" xfId="8547"/>
    <cellStyle name="la22 4 3 2 2 2 3 2" xfId="8548"/>
    <cellStyle name="la22 4 3 2 2 2 4" xfId="8549"/>
    <cellStyle name="la22 4 3 2 2 2 4 2" xfId="8550"/>
    <cellStyle name="la22 4 3 2 2 2 5" xfId="8551"/>
    <cellStyle name="la22 4 3 2 2 2 5 2" xfId="8552"/>
    <cellStyle name="la22 4 3 2 2 2 6" xfId="8553"/>
    <cellStyle name="la22 4 3 2 2 3" xfId="8554"/>
    <cellStyle name="la22 4 3 2 2 3 2" xfId="8555"/>
    <cellStyle name="la22 4 3 2 2 3 2 2" xfId="8556"/>
    <cellStyle name="la22 4 3 2 2 3 3" xfId="8557"/>
    <cellStyle name="la22 4 3 2 2 3 3 2" xfId="8558"/>
    <cellStyle name="la22 4 3 2 2 3 4" xfId="8559"/>
    <cellStyle name="la22 4 3 2 2 3 4 2" xfId="8560"/>
    <cellStyle name="la22 4 3 2 2 3 5" xfId="8561"/>
    <cellStyle name="la22 4 3 2 2 3 5 2" xfId="8562"/>
    <cellStyle name="la22 4 3 2 2 3 6" xfId="8563"/>
    <cellStyle name="la22 4 3 2 2 4" xfId="8564"/>
    <cellStyle name="la22 4 3 2 2 4 2" xfId="8565"/>
    <cellStyle name="la22 4 3 2 2 5" xfId="8566"/>
    <cellStyle name="la22 4 3 2 2 5 2" xfId="8567"/>
    <cellStyle name="la22 4 3 2 2 6" xfId="8568"/>
    <cellStyle name="la22 4 3 2 2 6 2" xfId="8569"/>
    <cellStyle name="la22 4 3 2 2 7" xfId="8570"/>
    <cellStyle name="la22 4 3 2 2 7 2" xfId="8571"/>
    <cellStyle name="la22 4 3 2 2 8" xfId="8572"/>
    <cellStyle name="la22 4 3 2 3" xfId="8573"/>
    <cellStyle name="la22 4 3 2 3 2" xfId="8574"/>
    <cellStyle name="la22 4 3 2 3 2 2" xfId="8575"/>
    <cellStyle name="la22 4 3 2 3 3" xfId="8576"/>
    <cellStyle name="la22 4 3 2 3 3 2" xfId="8577"/>
    <cellStyle name="la22 4 3 2 3 4" xfId="8578"/>
    <cellStyle name="la22 4 3 2 3 4 2" xfId="8579"/>
    <cellStyle name="la22 4 3 2 3 5" xfId="8580"/>
    <cellStyle name="la22 4 3 2 3 5 2" xfId="8581"/>
    <cellStyle name="la22 4 3 2 3 6" xfId="8582"/>
    <cellStyle name="la22 4 3 2 4" xfId="8583"/>
    <cellStyle name="la22 4 3 2 4 2" xfId="8584"/>
    <cellStyle name="la22 4 3 2 4 2 2" xfId="8585"/>
    <cellStyle name="la22 4 3 2 4 3" xfId="8586"/>
    <cellStyle name="la22 4 3 2 4 3 2" xfId="8587"/>
    <cellStyle name="la22 4 3 2 4 4" xfId="8588"/>
    <cellStyle name="la22 4 3 2 4 4 2" xfId="8589"/>
    <cellStyle name="la22 4 3 2 4 5" xfId="8590"/>
    <cellStyle name="la22 4 3 2 4 5 2" xfId="8591"/>
    <cellStyle name="la22 4 3 2 4 6" xfId="8592"/>
    <cellStyle name="la22 4 3 2 5" xfId="8593"/>
    <cellStyle name="la22 4 3 2 5 2" xfId="8594"/>
    <cellStyle name="la22 4 3 2 6" xfId="8595"/>
    <cellStyle name="la22 4 3 2 6 2" xfId="8596"/>
    <cellStyle name="la22 4 3 2 7" xfId="8597"/>
    <cellStyle name="la22 4 3 2 7 2" xfId="8598"/>
    <cellStyle name="la22 4 3 2 8" xfId="8599"/>
    <cellStyle name="la22 4 3 2 8 2" xfId="8600"/>
    <cellStyle name="la22 4 3 2 9" xfId="8601"/>
    <cellStyle name="la22 4 3 3" xfId="8602"/>
    <cellStyle name="la22 4 3 3 2" xfId="8603"/>
    <cellStyle name="la22 4 3 3 2 2" xfId="8604"/>
    <cellStyle name="la22 4 3 3 2 2 2" xfId="8605"/>
    <cellStyle name="la22 4 3 3 2 3" xfId="8606"/>
    <cellStyle name="la22 4 3 3 2 3 2" xfId="8607"/>
    <cellStyle name="la22 4 3 3 2 4" xfId="8608"/>
    <cellStyle name="la22 4 3 3 2 4 2" xfId="8609"/>
    <cellStyle name="la22 4 3 3 2 5" xfId="8610"/>
    <cellStyle name="la22 4 3 3 2 5 2" xfId="8611"/>
    <cellStyle name="la22 4 3 3 2 6" xfId="8612"/>
    <cellStyle name="la22 4 3 3 3" xfId="8613"/>
    <cellStyle name="la22 4 3 3 3 2" xfId="8614"/>
    <cellStyle name="la22 4 3 3 3 2 2" xfId="8615"/>
    <cellStyle name="la22 4 3 3 3 3" xfId="8616"/>
    <cellStyle name="la22 4 3 3 3 3 2" xfId="8617"/>
    <cellStyle name="la22 4 3 3 3 4" xfId="8618"/>
    <cellStyle name="la22 4 3 3 3 4 2" xfId="8619"/>
    <cellStyle name="la22 4 3 3 3 5" xfId="8620"/>
    <cellStyle name="la22 4 3 3 3 5 2" xfId="8621"/>
    <cellStyle name="la22 4 3 3 3 6" xfId="8622"/>
    <cellStyle name="la22 4 3 3 4" xfId="8623"/>
    <cellStyle name="la22 4 3 3 4 2" xfId="8624"/>
    <cellStyle name="la22 4 3 3 5" xfId="8625"/>
    <cellStyle name="la22 4 3 3 5 2" xfId="8626"/>
    <cellStyle name="la22 4 3 3 6" xfId="8627"/>
    <cellStyle name="la22 4 3 3 6 2" xfId="8628"/>
    <cellStyle name="la22 4 3 3 7" xfId="8629"/>
    <cellStyle name="la22 4 3 3 7 2" xfId="8630"/>
    <cellStyle name="la22 4 3 3 8" xfId="8631"/>
    <cellStyle name="la22 4 3 4" xfId="8632"/>
    <cellStyle name="la22 4 3 4 2" xfId="8633"/>
    <cellStyle name="la22 4 3 4 2 2" xfId="8634"/>
    <cellStyle name="la22 4 3 4 3" xfId="8635"/>
    <cellStyle name="la22 4 3 4 3 2" xfId="8636"/>
    <cellStyle name="la22 4 3 4 4" xfId="8637"/>
    <cellStyle name="la22 4 3 4 4 2" xfId="8638"/>
    <cellStyle name="la22 4 3 4 5" xfId="8639"/>
    <cellStyle name="la22 4 3 4 5 2" xfId="8640"/>
    <cellStyle name="la22 4 3 4 6" xfId="8641"/>
    <cellStyle name="la22 4 3 5" xfId="8642"/>
    <cellStyle name="la22 4 3 5 2" xfId="8643"/>
    <cellStyle name="la22 4 3 5 2 2" xfId="8644"/>
    <cellStyle name="la22 4 3 5 3" xfId="8645"/>
    <cellStyle name="la22 4 3 5 3 2" xfId="8646"/>
    <cellStyle name="la22 4 3 5 4" xfId="8647"/>
    <cellStyle name="la22 4 3 5 4 2" xfId="8648"/>
    <cellStyle name="la22 4 3 5 5" xfId="8649"/>
    <cellStyle name="la22 4 3 5 5 2" xfId="8650"/>
    <cellStyle name="la22 4 3 5 6" xfId="8651"/>
    <cellStyle name="la22 4 3 6" xfId="8652"/>
    <cellStyle name="la22 4 3 6 2" xfId="8653"/>
    <cellStyle name="la22 4 3 7" xfId="8654"/>
    <cellStyle name="la22 4 3 7 2" xfId="8655"/>
    <cellStyle name="la22 4 3 8" xfId="8656"/>
    <cellStyle name="la22 4 3 8 2" xfId="8657"/>
    <cellStyle name="la22 4 3 9" xfId="8658"/>
    <cellStyle name="la22 4 3 9 2" xfId="8659"/>
    <cellStyle name="la22 4 4" xfId="2228"/>
    <cellStyle name="la22 4 4 10" xfId="8660"/>
    <cellStyle name="la22 4 4 2" xfId="2229"/>
    <cellStyle name="la22 4 4 2 2" xfId="8661"/>
    <cellStyle name="la22 4 4 2 2 2" xfId="8662"/>
    <cellStyle name="la22 4 4 2 2 2 2" xfId="8663"/>
    <cellStyle name="la22 4 4 2 2 2 2 2" xfId="8664"/>
    <cellStyle name="la22 4 4 2 2 2 3" xfId="8665"/>
    <cellStyle name="la22 4 4 2 2 2 3 2" xfId="8666"/>
    <cellStyle name="la22 4 4 2 2 2 4" xfId="8667"/>
    <cellStyle name="la22 4 4 2 2 2 4 2" xfId="8668"/>
    <cellStyle name="la22 4 4 2 2 2 5" xfId="8669"/>
    <cellStyle name="la22 4 4 2 2 2 5 2" xfId="8670"/>
    <cellStyle name="la22 4 4 2 2 2 6" xfId="8671"/>
    <cellStyle name="la22 4 4 2 2 3" xfId="8672"/>
    <cellStyle name="la22 4 4 2 2 3 2" xfId="8673"/>
    <cellStyle name="la22 4 4 2 2 3 2 2" xfId="8674"/>
    <cellStyle name="la22 4 4 2 2 3 3" xfId="8675"/>
    <cellStyle name="la22 4 4 2 2 3 3 2" xfId="8676"/>
    <cellStyle name="la22 4 4 2 2 3 4" xfId="8677"/>
    <cellStyle name="la22 4 4 2 2 3 4 2" xfId="8678"/>
    <cellStyle name="la22 4 4 2 2 3 5" xfId="8679"/>
    <cellStyle name="la22 4 4 2 2 3 5 2" xfId="8680"/>
    <cellStyle name="la22 4 4 2 2 3 6" xfId="8681"/>
    <cellStyle name="la22 4 4 2 2 4" xfId="8682"/>
    <cellStyle name="la22 4 4 2 2 4 2" xfId="8683"/>
    <cellStyle name="la22 4 4 2 2 5" xfId="8684"/>
    <cellStyle name="la22 4 4 2 2 5 2" xfId="8685"/>
    <cellStyle name="la22 4 4 2 2 6" xfId="8686"/>
    <cellStyle name="la22 4 4 2 2 6 2" xfId="8687"/>
    <cellStyle name="la22 4 4 2 2 7" xfId="8688"/>
    <cellStyle name="la22 4 4 2 2 7 2" xfId="8689"/>
    <cellStyle name="la22 4 4 2 2 8" xfId="8690"/>
    <cellStyle name="la22 4 4 2 3" xfId="8691"/>
    <cellStyle name="la22 4 4 2 3 2" xfId="8692"/>
    <cellStyle name="la22 4 4 2 3 2 2" xfId="8693"/>
    <cellStyle name="la22 4 4 2 3 3" xfId="8694"/>
    <cellStyle name="la22 4 4 2 3 3 2" xfId="8695"/>
    <cellStyle name="la22 4 4 2 3 4" xfId="8696"/>
    <cellStyle name="la22 4 4 2 3 4 2" xfId="8697"/>
    <cellStyle name="la22 4 4 2 3 5" xfId="8698"/>
    <cellStyle name="la22 4 4 2 3 5 2" xfId="8699"/>
    <cellStyle name="la22 4 4 2 3 6" xfId="8700"/>
    <cellStyle name="la22 4 4 2 4" xfId="8701"/>
    <cellStyle name="la22 4 4 2 4 2" xfId="8702"/>
    <cellStyle name="la22 4 4 2 4 2 2" xfId="8703"/>
    <cellStyle name="la22 4 4 2 4 3" xfId="8704"/>
    <cellStyle name="la22 4 4 2 4 3 2" xfId="8705"/>
    <cellStyle name="la22 4 4 2 4 4" xfId="8706"/>
    <cellStyle name="la22 4 4 2 4 4 2" xfId="8707"/>
    <cellStyle name="la22 4 4 2 4 5" xfId="8708"/>
    <cellStyle name="la22 4 4 2 4 5 2" xfId="8709"/>
    <cellStyle name="la22 4 4 2 4 6" xfId="8710"/>
    <cellStyle name="la22 4 4 2 5" xfId="8711"/>
    <cellStyle name="la22 4 4 2 5 2" xfId="8712"/>
    <cellStyle name="la22 4 4 2 6" xfId="8713"/>
    <cellStyle name="la22 4 4 2 6 2" xfId="8714"/>
    <cellStyle name="la22 4 4 2 7" xfId="8715"/>
    <cellStyle name="la22 4 4 2 7 2" xfId="8716"/>
    <cellStyle name="la22 4 4 2 8" xfId="8717"/>
    <cellStyle name="la22 4 4 2 8 2" xfId="8718"/>
    <cellStyle name="la22 4 4 2 9" xfId="8719"/>
    <cellStyle name="la22 4 4 3" xfId="8720"/>
    <cellStyle name="la22 4 4 3 2" xfId="8721"/>
    <cellStyle name="la22 4 4 3 2 2" xfId="8722"/>
    <cellStyle name="la22 4 4 3 2 2 2" xfId="8723"/>
    <cellStyle name="la22 4 4 3 2 3" xfId="8724"/>
    <cellStyle name="la22 4 4 3 2 3 2" xfId="8725"/>
    <cellStyle name="la22 4 4 3 2 4" xfId="8726"/>
    <cellStyle name="la22 4 4 3 2 4 2" xfId="8727"/>
    <cellStyle name="la22 4 4 3 2 5" xfId="8728"/>
    <cellStyle name="la22 4 4 3 2 5 2" xfId="8729"/>
    <cellStyle name="la22 4 4 3 2 6" xfId="8730"/>
    <cellStyle name="la22 4 4 3 3" xfId="8731"/>
    <cellStyle name="la22 4 4 3 3 2" xfId="8732"/>
    <cellStyle name="la22 4 4 3 3 2 2" xfId="8733"/>
    <cellStyle name="la22 4 4 3 3 3" xfId="8734"/>
    <cellStyle name="la22 4 4 3 3 3 2" xfId="8735"/>
    <cellStyle name="la22 4 4 3 3 4" xfId="8736"/>
    <cellStyle name="la22 4 4 3 3 4 2" xfId="8737"/>
    <cellStyle name="la22 4 4 3 3 5" xfId="8738"/>
    <cellStyle name="la22 4 4 3 3 5 2" xfId="8739"/>
    <cellStyle name="la22 4 4 3 3 6" xfId="8740"/>
    <cellStyle name="la22 4 4 3 4" xfId="8741"/>
    <cellStyle name="la22 4 4 3 4 2" xfId="8742"/>
    <cellStyle name="la22 4 4 3 5" xfId="8743"/>
    <cellStyle name="la22 4 4 3 5 2" xfId="8744"/>
    <cellStyle name="la22 4 4 3 6" xfId="8745"/>
    <cellStyle name="la22 4 4 3 6 2" xfId="8746"/>
    <cellStyle name="la22 4 4 3 7" xfId="8747"/>
    <cellStyle name="la22 4 4 3 7 2" xfId="8748"/>
    <cellStyle name="la22 4 4 3 8" xfId="8749"/>
    <cellStyle name="la22 4 4 4" xfId="8750"/>
    <cellStyle name="la22 4 4 4 2" xfId="8751"/>
    <cellStyle name="la22 4 4 4 2 2" xfId="8752"/>
    <cellStyle name="la22 4 4 4 3" xfId="8753"/>
    <cellStyle name="la22 4 4 4 3 2" xfId="8754"/>
    <cellStyle name="la22 4 4 4 4" xfId="8755"/>
    <cellStyle name="la22 4 4 4 4 2" xfId="8756"/>
    <cellStyle name="la22 4 4 4 5" xfId="8757"/>
    <cellStyle name="la22 4 4 4 5 2" xfId="8758"/>
    <cellStyle name="la22 4 4 4 6" xfId="8759"/>
    <cellStyle name="la22 4 4 5" xfId="8760"/>
    <cellStyle name="la22 4 4 5 2" xfId="8761"/>
    <cellStyle name="la22 4 4 5 2 2" xfId="8762"/>
    <cellStyle name="la22 4 4 5 3" xfId="8763"/>
    <cellStyle name="la22 4 4 5 3 2" xfId="8764"/>
    <cellStyle name="la22 4 4 5 4" xfId="8765"/>
    <cellStyle name="la22 4 4 5 4 2" xfId="8766"/>
    <cellStyle name="la22 4 4 5 5" xfId="8767"/>
    <cellStyle name="la22 4 4 5 5 2" xfId="8768"/>
    <cellStyle name="la22 4 4 5 6" xfId="8769"/>
    <cellStyle name="la22 4 4 6" xfId="8770"/>
    <cellStyle name="la22 4 4 6 2" xfId="8771"/>
    <cellStyle name="la22 4 4 7" xfId="8772"/>
    <cellStyle name="la22 4 4 7 2" xfId="8773"/>
    <cellStyle name="la22 4 4 8" xfId="8774"/>
    <cellStyle name="la22 4 4 8 2" xfId="8775"/>
    <cellStyle name="la22 4 4 9" xfId="8776"/>
    <cellStyle name="la22 4 4 9 2" xfId="8777"/>
    <cellStyle name="la22 4 5" xfId="2230"/>
    <cellStyle name="la22 4 5 2" xfId="8778"/>
    <cellStyle name="la22 4 5 2 2" xfId="8779"/>
    <cellStyle name="la22 4 5 2 2 2" xfId="8780"/>
    <cellStyle name="la22 4 5 2 2 2 2" xfId="8781"/>
    <cellStyle name="la22 4 5 2 2 3" xfId="8782"/>
    <cellStyle name="la22 4 5 2 2 3 2" xfId="8783"/>
    <cellStyle name="la22 4 5 2 2 4" xfId="8784"/>
    <cellStyle name="la22 4 5 2 2 4 2" xfId="8785"/>
    <cellStyle name="la22 4 5 2 2 5" xfId="8786"/>
    <cellStyle name="la22 4 5 2 2 5 2" xfId="8787"/>
    <cellStyle name="la22 4 5 2 2 6" xfId="8788"/>
    <cellStyle name="la22 4 5 2 3" xfId="8789"/>
    <cellStyle name="la22 4 5 2 3 2" xfId="8790"/>
    <cellStyle name="la22 4 5 2 3 2 2" xfId="8791"/>
    <cellStyle name="la22 4 5 2 3 3" xfId="8792"/>
    <cellStyle name="la22 4 5 2 3 3 2" xfId="8793"/>
    <cellStyle name="la22 4 5 2 3 4" xfId="8794"/>
    <cellStyle name="la22 4 5 2 3 4 2" xfId="8795"/>
    <cellStyle name="la22 4 5 2 3 5" xfId="8796"/>
    <cellStyle name="la22 4 5 2 3 5 2" xfId="8797"/>
    <cellStyle name="la22 4 5 2 3 6" xfId="8798"/>
    <cellStyle name="la22 4 5 2 4" xfId="8799"/>
    <cellStyle name="la22 4 5 2 4 2" xfId="8800"/>
    <cellStyle name="la22 4 5 2 5" xfId="8801"/>
    <cellStyle name="la22 4 5 2 5 2" xfId="8802"/>
    <cellStyle name="la22 4 5 2 6" xfId="8803"/>
    <cellStyle name="la22 4 5 2 6 2" xfId="8804"/>
    <cellStyle name="la22 4 5 2 7" xfId="8805"/>
    <cellStyle name="la22 4 5 2 7 2" xfId="8806"/>
    <cellStyle name="la22 4 5 2 8" xfId="8807"/>
    <cellStyle name="la22 4 5 3" xfId="8808"/>
    <cellStyle name="la22 4 5 3 2" xfId="8809"/>
    <cellStyle name="la22 4 5 3 2 2" xfId="8810"/>
    <cellStyle name="la22 4 5 3 3" xfId="8811"/>
    <cellStyle name="la22 4 5 3 3 2" xfId="8812"/>
    <cellStyle name="la22 4 5 3 4" xfId="8813"/>
    <cellStyle name="la22 4 5 3 4 2" xfId="8814"/>
    <cellStyle name="la22 4 5 3 5" xfId="8815"/>
    <cellStyle name="la22 4 5 3 5 2" xfId="8816"/>
    <cellStyle name="la22 4 5 3 6" xfId="8817"/>
    <cellStyle name="la22 4 5 4" xfId="8818"/>
    <cellStyle name="la22 4 5 4 2" xfId="8819"/>
    <cellStyle name="la22 4 5 4 2 2" xfId="8820"/>
    <cellStyle name="la22 4 5 4 3" xfId="8821"/>
    <cellStyle name="la22 4 5 4 3 2" xfId="8822"/>
    <cellStyle name="la22 4 5 4 4" xfId="8823"/>
    <cellStyle name="la22 4 5 4 4 2" xfId="8824"/>
    <cellStyle name="la22 4 5 4 5" xfId="8825"/>
    <cellStyle name="la22 4 5 4 5 2" xfId="8826"/>
    <cellStyle name="la22 4 5 4 6" xfId="8827"/>
    <cellStyle name="la22 4 5 5" xfId="8828"/>
    <cellStyle name="la22 4 5 5 2" xfId="8829"/>
    <cellStyle name="la22 4 5 6" xfId="8830"/>
    <cellStyle name="la22 4 5 6 2" xfId="8831"/>
    <cellStyle name="la22 4 5 7" xfId="8832"/>
    <cellStyle name="la22 4 5 7 2" xfId="8833"/>
    <cellStyle name="la22 4 5 8" xfId="8834"/>
    <cellStyle name="la22 4 5 8 2" xfId="8835"/>
    <cellStyle name="la22 4 5 9" xfId="8836"/>
    <cellStyle name="la22 4 6" xfId="8837"/>
    <cellStyle name="la22 4 6 2" xfId="8838"/>
    <cellStyle name="la22 4 6 2 2" xfId="8839"/>
    <cellStyle name="la22 4 6 2 2 2" xfId="8840"/>
    <cellStyle name="la22 4 6 2 3" xfId="8841"/>
    <cellStyle name="la22 4 6 2 3 2" xfId="8842"/>
    <cellStyle name="la22 4 6 2 4" xfId="8843"/>
    <cellStyle name="la22 4 6 2 4 2" xfId="8844"/>
    <cellStyle name="la22 4 6 2 5" xfId="8845"/>
    <cellStyle name="la22 4 6 2 5 2" xfId="8846"/>
    <cellStyle name="la22 4 6 2 6" xfId="8847"/>
    <cellStyle name="la22 4 6 3" xfId="8848"/>
    <cellStyle name="la22 4 6 3 2" xfId="8849"/>
    <cellStyle name="la22 4 6 3 2 2" xfId="8850"/>
    <cellStyle name="la22 4 6 3 3" xfId="8851"/>
    <cellStyle name="la22 4 6 3 3 2" xfId="8852"/>
    <cellStyle name="la22 4 6 3 4" xfId="8853"/>
    <cellStyle name="la22 4 6 3 4 2" xfId="8854"/>
    <cellStyle name="la22 4 6 3 5" xfId="8855"/>
    <cellStyle name="la22 4 6 3 5 2" xfId="8856"/>
    <cellStyle name="la22 4 6 3 6" xfId="8857"/>
    <cellStyle name="la22 4 6 4" xfId="8858"/>
    <cellStyle name="la22 4 6 4 2" xfId="8859"/>
    <cellStyle name="la22 4 6 5" xfId="8860"/>
    <cellStyle name="la22 4 6 5 2" xfId="8861"/>
    <cellStyle name="la22 4 6 6" xfId="8862"/>
    <cellStyle name="la22 4 6 6 2" xfId="8863"/>
    <cellStyle name="la22 4 6 7" xfId="8864"/>
    <cellStyle name="la22 4 6 7 2" xfId="8865"/>
    <cellStyle name="la22 4 6 8" xfId="8866"/>
    <cellStyle name="la22 4 7" xfId="8867"/>
    <cellStyle name="la22 4 7 2" xfId="8868"/>
    <cellStyle name="la22 4 7 2 2" xfId="8869"/>
    <cellStyle name="la22 4 7 3" xfId="8870"/>
    <cellStyle name="la22 4 7 3 2" xfId="8871"/>
    <cellStyle name="la22 4 7 4" xfId="8872"/>
    <cellStyle name="la22 4 7 4 2" xfId="8873"/>
    <cellStyle name="la22 4 7 5" xfId="8874"/>
    <cellStyle name="la22 4 7 5 2" xfId="8875"/>
    <cellStyle name="la22 4 7 6" xfId="8876"/>
    <cellStyle name="la22 4 8" xfId="8877"/>
    <cellStyle name="la22 4 8 2" xfId="8878"/>
    <cellStyle name="la22 4 8 2 2" xfId="8879"/>
    <cellStyle name="la22 4 8 3" xfId="8880"/>
    <cellStyle name="la22 4 8 3 2" xfId="8881"/>
    <cellStyle name="la22 4 8 4" xfId="8882"/>
    <cellStyle name="la22 4 8 4 2" xfId="8883"/>
    <cellStyle name="la22 4 8 5" xfId="8884"/>
    <cellStyle name="la22 4 8 5 2" xfId="8885"/>
    <cellStyle name="la22 4 8 6" xfId="8886"/>
    <cellStyle name="la22 4 9" xfId="8887"/>
    <cellStyle name="la22 4 9 2" xfId="8888"/>
    <cellStyle name="la22 5" xfId="699"/>
    <cellStyle name="la22 5 10" xfId="8889"/>
    <cellStyle name="la22 5 10 2" xfId="8890"/>
    <cellStyle name="la22 5 11" xfId="8891"/>
    <cellStyle name="la22 5 11 2" xfId="8892"/>
    <cellStyle name="la22 5 12" xfId="8893"/>
    <cellStyle name="la22 5 12 2" xfId="8894"/>
    <cellStyle name="la22 5 13" xfId="8895"/>
    <cellStyle name="la22 5 2" xfId="2231"/>
    <cellStyle name="la22 5 2 10" xfId="8896"/>
    <cellStyle name="la22 5 2 2" xfId="2232"/>
    <cellStyle name="la22 5 2 2 2" xfId="8897"/>
    <cellStyle name="la22 5 2 2 2 2" xfId="8898"/>
    <cellStyle name="la22 5 2 2 2 2 2" xfId="8899"/>
    <cellStyle name="la22 5 2 2 2 2 2 2" xfId="8900"/>
    <cellStyle name="la22 5 2 2 2 2 3" xfId="8901"/>
    <cellStyle name="la22 5 2 2 2 2 3 2" xfId="8902"/>
    <cellStyle name="la22 5 2 2 2 2 4" xfId="8903"/>
    <cellStyle name="la22 5 2 2 2 2 4 2" xfId="8904"/>
    <cellStyle name="la22 5 2 2 2 2 5" xfId="8905"/>
    <cellStyle name="la22 5 2 2 2 2 5 2" xfId="8906"/>
    <cellStyle name="la22 5 2 2 2 2 6" xfId="8907"/>
    <cellStyle name="la22 5 2 2 2 3" xfId="8908"/>
    <cellStyle name="la22 5 2 2 2 3 2" xfId="8909"/>
    <cellStyle name="la22 5 2 2 2 3 2 2" xfId="8910"/>
    <cellStyle name="la22 5 2 2 2 3 3" xfId="8911"/>
    <cellStyle name="la22 5 2 2 2 3 3 2" xfId="8912"/>
    <cellStyle name="la22 5 2 2 2 3 4" xfId="8913"/>
    <cellStyle name="la22 5 2 2 2 3 4 2" xfId="8914"/>
    <cellStyle name="la22 5 2 2 2 3 5" xfId="8915"/>
    <cellStyle name="la22 5 2 2 2 3 5 2" xfId="8916"/>
    <cellStyle name="la22 5 2 2 2 3 6" xfId="8917"/>
    <cellStyle name="la22 5 2 2 2 4" xfId="8918"/>
    <cellStyle name="la22 5 2 2 2 4 2" xfId="8919"/>
    <cellStyle name="la22 5 2 2 2 5" xfId="8920"/>
    <cellStyle name="la22 5 2 2 2 5 2" xfId="8921"/>
    <cellStyle name="la22 5 2 2 2 6" xfId="8922"/>
    <cellStyle name="la22 5 2 2 2 6 2" xfId="8923"/>
    <cellStyle name="la22 5 2 2 2 7" xfId="8924"/>
    <cellStyle name="la22 5 2 2 2 7 2" xfId="8925"/>
    <cellStyle name="la22 5 2 2 2 8" xfId="8926"/>
    <cellStyle name="la22 5 2 2 3" xfId="8927"/>
    <cellStyle name="la22 5 2 2 3 2" xfId="8928"/>
    <cellStyle name="la22 5 2 2 3 2 2" xfId="8929"/>
    <cellStyle name="la22 5 2 2 3 3" xfId="8930"/>
    <cellStyle name="la22 5 2 2 3 3 2" xfId="8931"/>
    <cellStyle name="la22 5 2 2 3 4" xfId="8932"/>
    <cellStyle name="la22 5 2 2 3 4 2" xfId="8933"/>
    <cellStyle name="la22 5 2 2 3 5" xfId="8934"/>
    <cellStyle name="la22 5 2 2 3 5 2" xfId="8935"/>
    <cellStyle name="la22 5 2 2 3 6" xfId="8936"/>
    <cellStyle name="la22 5 2 2 4" xfId="8937"/>
    <cellStyle name="la22 5 2 2 4 2" xfId="8938"/>
    <cellStyle name="la22 5 2 2 4 2 2" xfId="8939"/>
    <cellStyle name="la22 5 2 2 4 3" xfId="8940"/>
    <cellStyle name="la22 5 2 2 4 3 2" xfId="8941"/>
    <cellStyle name="la22 5 2 2 4 4" xfId="8942"/>
    <cellStyle name="la22 5 2 2 4 4 2" xfId="8943"/>
    <cellStyle name="la22 5 2 2 4 5" xfId="8944"/>
    <cellStyle name="la22 5 2 2 4 5 2" xfId="8945"/>
    <cellStyle name="la22 5 2 2 4 6" xfId="8946"/>
    <cellStyle name="la22 5 2 2 5" xfId="8947"/>
    <cellStyle name="la22 5 2 2 5 2" xfId="8948"/>
    <cellStyle name="la22 5 2 2 6" xfId="8949"/>
    <cellStyle name="la22 5 2 2 6 2" xfId="8950"/>
    <cellStyle name="la22 5 2 2 7" xfId="8951"/>
    <cellStyle name="la22 5 2 2 7 2" xfId="8952"/>
    <cellStyle name="la22 5 2 2 8" xfId="8953"/>
    <cellStyle name="la22 5 2 2 8 2" xfId="8954"/>
    <cellStyle name="la22 5 2 2 9" xfId="8955"/>
    <cellStyle name="la22 5 2 3" xfId="8956"/>
    <cellStyle name="la22 5 2 3 2" xfId="8957"/>
    <cellStyle name="la22 5 2 3 2 2" xfId="8958"/>
    <cellStyle name="la22 5 2 3 2 2 2" xfId="8959"/>
    <cellStyle name="la22 5 2 3 2 3" xfId="8960"/>
    <cellStyle name="la22 5 2 3 2 3 2" xfId="8961"/>
    <cellStyle name="la22 5 2 3 2 4" xfId="8962"/>
    <cellStyle name="la22 5 2 3 2 4 2" xfId="8963"/>
    <cellStyle name="la22 5 2 3 2 5" xfId="8964"/>
    <cellStyle name="la22 5 2 3 2 5 2" xfId="8965"/>
    <cellStyle name="la22 5 2 3 2 6" xfId="8966"/>
    <cellStyle name="la22 5 2 3 3" xfId="8967"/>
    <cellStyle name="la22 5 2 3 3 2" xfId="8968"/>
    <cellStyle name="la22 5 2 3 3 2 2" xfId="8969"/>
    <cellStyle name="la22 5 2 3 3 3" xfId="8970"/>
    <cellStyle name="la22 5 2 3 3 3 2" xfId="8971"/>
    <cellStyle name="la22 5 2 3 3 4" xfId="8972"/>
    <cellStyle name="la22 5 2 3 3 4 2" xfId="8973"/>
    <cellStyle name="la22 5 2 3 3 5" xfId="8974"/>
    <cellStyle name="la22 5 2 3 3 5 2" xfId="8975"/>
    <cellStyle name="la22 5 2 3 3 6" xfId="8976"/>
    <cellStyle name="la22 5 2 3 4" xfId="8977"/>
    <cellStyle name="la22 5 2 3 4 2" xfId="8978"/>
    <cellStyle name="la22 5 2 3 5" xfId="8979"/>
    <cellStyle name="la22 5 2 3 5 2" xfId="8980"/>
    <cellStyle name="la22 5 2 3 6" xfId="8981"/>
    <cellStyle name="la22 5 2 3 6 2" xfId="8982"/>
    <cellStyle name="la22 5 2 3 7" xfId="8983"/>
    <cellStyle name="la22 5 2 3 7 2" xfId="8984"/>
    <cellStyle name="la22 5 2 3 8" xfId="8985"/>
    <cellStyle name="la22 5 2 4" xfId="8986"/>
    <cellStyle name="la22 5 2 4 2" xfId="8987"/>
    <cellStyle name="la22 5 2 4 2 2" xfId="8988"/>
    <cellStyle name="la22 5 2 4 3" xfId="8989"/>
    <cellStyle name="la22 5 2 4 3 2" xfId="8990"/>
    <cellStyle name="la22 5 2 4 4" xfId="8991"/>
    <cellStyle name="la22 5 2 4 4 2" xfId="8992"/>
    <cellStyle name="la22 5 2 4 5" xfId="8993"/>
    <cellStyle name="la22 5 2 4 5 2" xfId="8994"/>
    <cellStyle name="la22 5 2 4 6" xfId="8995"/>
    <cellStyle name="la22 5 2 5" xfId="8996"/>
    <cellStyle name="la22 5 2 5 2" xfId="8997"/>
    <cellStyle name="la22 5 2 5 2 2" xfId="8998"/>
    <cellStyle name="la22 5 2 5 3" xfId="8999"/>
    <cellStyle name="la22 5 2 5 3 2" xfId="9000"/>
    <cellStyle name="la22 5 2 5 4" xfId="9001"/>
    <cellStyle name="la22 5 2 5 4 2" xfId="9002"/>
    <cellStyle name="la22 5 2 5 5" xfId="9003"/>
    <cellStyle name="la22 5 2 5 5 2" xfId="9004"/>
    <cellStyle name="la22 5 2 5 6" xfId="9005"/>
    <cellStyle name="la22 5 2 6" xfId="9006"/>
    <cellStyle name="la22 5 2 6 2" xfId="9007"/>
    <cellStyle name="la22 5 2 7" xfId="9008"/>
    <cellStyle name="la22 5 2 7 2" xfId="9009"/>
    <cellStyle name="la22 5 2 8" xfId="9010"/>
    <cellStyle name="la22 5 2 8 2" xfId="9011"/>
    <cellStyle name="la22 5 2 9" xfId="9012"/>
    <cellStyle name="la22 5 2 9 2" xfId="9013"/>
    <cellStyle name="la22 5 3" xfId="2233"/>
    <cellStyle name="la22 5 3 10" xfId="9014"/>
    <cellStyle name="la22 5 3 2" xfId="2234"/>
    <cellStyle name="la22 5 3 2 2" xfId="9015"/>
    <cellStyle name="la22 5 3 2 2 2" xfId="9016"/>
    <cellStyle name="la22 5 3 2 2 2 2" xfId="9017"/>
    <cellStyle name="la22 5 3 2 2 2 2 2" xfId="9018"/>
    <cellStyle name="la22 5 3 2 2 2 3" xfId="9019"/>
    <cellStyle name="la22 5 3 2 2 2 3 2" xfId="9020"/>
    <cellStyle name="la22 5 3 2 2 2 4" xfId="9021"/>
    <cellStyle name="la22 5 3 2 2 2 4 2" xfId="9022"/>
    <cellStyle name="la22 5 3 2 2 2 5" xfId="9023"/>
    <cellStyle name="la22 5 3 2 2 2 5 2" xfId="9024"/>
    <cellStyle name="la22 5 3 2 2 2 6" xfId="9025"/>
    <cellStyle name="la22 5 3 2 2 3" xfId="9026"/>
    <cellStyle name="la22 5 3 2 2 3 2" xfId="9027"/>
    <cellStyle name="la22 5 3 2 2 3 2 2" xfId="9028"/>
    <cellStyle name="la22 5 3 2 2 3 3" xfId="9029"/>
    <cellStyle name="la22 5 3 2 2 3 3 2" xfId="9030"/>
    <cellStyle name="la22 5 3 2 2 3 4" xfId="9031"/>
    <cellStyle name="la22 5 3 2 2 3 4 2" xfId="9032"/>
    <cellStyle name="la22 5 3 2 2 3 5" xfId="9033"/>
    <cellStyle name="la22 5 3 2 2 3 5 2" xfId="9034"/>
    <cellStyle name="la22 5 3 2 2 3 6" xfId="9035"/>
    <cellStyle name="la22 5 3 2 2 4" xfId="9036"/>
    <cellStyle name="la22 5 3 2 2 4 2" xfId="9037"/>
    <cellStyle name="la22 5 3 2 2 5" xfId="9038"/>
    <cellStyle name="la22 5 3 2 2 5 2" xfId="9039"/>
    <cellStyle name="la22 5 3 2 2 6" xfId="9040"/>
    <cellStyle name="la22 5 3 2 2 6 2" xfId="9041"/>
    <cellStyle name="la22 5 3 2 2 7" xfId="9042"/>
    <cellStyle name="la22 5 3 2 2 7 2" xfId="9043"/>
    <cellStyle name="la22 5 3 2 2 8" xfId="9044"/>
    <cellStyle name="la22 5 3 2 3" xfId="9045"/>
    <cellStyle name="la22 5 3 2 3 2" xfId="9046"/>
    <cellStyle name="la22 5 3 2 3 2 2" xfId="9047"/>
    <cellStyle name="la22 5 3 2 3 3" xfId="9048"/>
    <cellStyle name="la22 5 3 2 3 3 2" xfId="9049"/>
    <cellStyle name="la22 5 3 2 3 4" xfId="9050"/>
    <cellStyle name="la22 5 3 2 3 4 2" xfId="9051"/>
    <cellStyle name="la22 5 3 2 3 5" xfId="9052"/>
    <cellStyle name="la22 5 3 2 3 5 2" xfId="9053"/>
    <cellStyle name="la22 5 3 2 3 6" xfId="9054"/>
    <cellStyle name="la22 5 3 2 4" xfId="9055"/>
    <cellStyle name="la22 5 3 2 4 2" xfId="9056"/>
    <cellStyle name="la22 5 3 2 4 2 2" xfId="9057"/>
    <cellStyle name="la22 5 3 2 4 3" xfId="9058"/>
    <cellStyle name="la22 5 3 2 4 3 2" xfId="9059"/>
    <cellStyle name="la22 5 3 2 4 4" xfId="9060"/>
    <cellStyle name="la22 5 3 2 4 4 2" xfId="9061"/>
    <cellStyle name="la22 5 3 2 4 5" xfId="9062"/>
    <cellStyle name="la22 5 3 2 4 5 2" xfId="9063"/>
    <cellStyle name="la22 5 3 2 4 6" xfId="9064"/>
    <cellStyle name="la22 5 3 2 5" xfId="9065"/>
    <cellStyle name="la22 5 3 2 5 2" xfId="9066"/>
    <cellStyle name="la22 5 3 2 6" xfId="9067"/>
    <cellStyle name="la22 5 3 2 6 2" xfId="9068"/>
    <cellStyle name="la22 5 3 2 7" xfId="9069"/>
    <cellStyle name="la22 5 3 2 7 2" xfId="9070"/>
    <cellStyle name="la22 5 3 2 8" xfId="9071"/>
    <cellStyle name="la22 5 3 2 8 2" xfId="9072"/>
    <cellStyle name="la22 5 3 2 9" xfId="9073"/>
    <cellStyle name="la22 5 3 3" xfId="9074"/>
    <cellStyle name="la22 5 3 3 2" xfId="9075"/>
    <cellStyle name="la22 5 3 3 2 2" xfId="9076"/>
    <cellStyle name="la22 5 3 3 2 2 2" xfId="9077"/>
    <cellStyle name="la22 5 3 3 2 3" xfId="9078"/>
    <cellStyle name="la22 5 3 3 2 3 2" xfId="9079"/>
    <cellStyle name="la22 5 3 3 2 4" xfId="9080"/>
    <cellStyle name="la22 5 3 3 2 4 2" xfId="9081"/>
    <cellStyle name="la22 5 3 3 2 5" xfId="9082"/>
    <cellStyle name="la22 5 3 3 2 5 2" xfId="9083"/>
    <cellStyle name="la22 5 3 3 2 6" xfId="9084"/>
    <cellStyle name="la22 5 3 3 3" xfId="9085"/>
    <cellStyle name="la22 5 3 3 3 2" xfId="9086"/>
    <cellStyle name="la22 5 3 3 3 2 2" xfId="9087"/>
    <cellStyle name="la22 5 3 3 3 3" xfId="9088"/>
    <cellStyle name="la22 5 3 3 3 3 2" xfId="9089"/>
    <cellStyle name="la22 5 3 3 3 4" xfId="9090"/>
    <cellStyle name="la22 5 3 3 3 4 2" xfId="9091"/>
    <cellStyle name="la22 5 3 3 3 5" xfId="9092"/>
    <cellStyle name="la22 5 3 3 3 5 2" xfId="9093"/>
    <cellStyle name="la22 5 3 3 3 6" xfId="9094"/>
    <cellStyle name="la22 5 3 3 4" xfId="9095"/>
    <cellStyle name="la22 5 3 3 4 2" xfId="9096"/>
    <cellStyle name="la22 5 3 3 5" xfId="9097"/>
    <cellStyle name="la22 5 3 3 5 2" xfId="9098"/>
    <cellStyle name="la22 5 3 3 6" xfId="9099"/>
    <cellStyle name="la22 5 3 3 6 2" xfId="9100"/>
    <cellStyle name="la22 5 3 3 7" xfId="9101"/>
    <cellStyle name="la22 5 3 3 7 2" xfId="9102"/>
    <cellStyle name="la22 5 3 3 8" xfId="9103"/>
    <cellStyle name="la22 5 3 4" xfId="9104"/>
    <cellStyle name="la22 5 3 4 2" xfId="9105"/>
    <cellStyle name="la22 5 3 4 2 2" xfId="9106"/>
    <cellStyle name="la22 5 3 4 3" xfId="9107"/>
    <cellStyle name="la22 5 3 4 3 2" xfId="9108"/>
    <cellStyle name="la22 5 3 4 4" xfId="9109"/>
    <cellStyle name="la22 5 3 4 4 2" xfId="9110"/>
    <cellStyle name="la22 5 3 4 5" xfId="9111"/>
    <cellStyle name="la22 5 3 4 5 2" xfId="9112"/>
    <cellStyle name="la22 5 3 4 6" xfId="9113"/>
    <cellStyle name="la22 5 3 5" xfId="9114"/>
    <cellStyle name="la22 5 3 5 2" xfId="9115"/>
    <cellStyle name="la22 5 3 5 2 2" xfId="9116"/>
    <cellStyle name="la22 5 3 5 3" xfId="9117"/>
    <cellStyle name="la22 5 3 5 3 2" xfId="9118"/>
    <cellStyle name="la22 5 3 5 4" xfId="9119"/>
    <cellStyle name="la22 5 3 5 4 2" xfId="9120"/>
    <cellStyle name="la22 5 3 5 5" xfId="9121"/>
    <cellStyle name="la22 5 3 5 5 2" xfId="9122"/>
    <cellStyle name="la22 5 3 5 6" xfId="9123"/>
    <cellStyle name="la22 5 3 6" xfId="9124"/>
    <cellStyle name="la22 5 3 6 2" xfId="9125"/>
    <cellStyle name="la22 5 3 7" xfId="9126"/>
    <cellStyle name="la22 5 3 7 2" xfId="9127"/>
    <cellStyle name="la22 5 3 8" xfId="9128"/>
    <cellStyle name="la22 5 3 8 2" xfId="9129"/>
    <cellStyle name="la22 5 3 9" xfId="9130"/>
    <cellStyle name="la22 5 3 9 2" xfId="9131"/>
    <cellStyle name="la22 5 4" xfId="2235"/>
    <cellStyle name="la22 5 4 10" xfId="9132"/>
    <cellStyle name="la22 5 4 2" xfId="2236"/>
    <cellStyle name="la22 5 4 2 2" xfId="9133"/>
    <cellStyle name="la22 5 4 2 2 2" xfId="9134"/>
    <cellStyle name="la22 5 4 2 2 2 2" xfId="9135"/>
    <cellStyle name="la22 5 4 2 2 2 2 2" xfId="9136"/>
    <cellStyle name="la22 5 4 2 2 2 3" xfId="9137"/>
    <cellStyle name="la22 5 4 2 2 2 3 2" xfId="9138"/>
    <cellStyle name="la22 5 4 2 2 2 4" xfId="9139"/>
    <cellStyle name="la22 5 4 2 2 2 4 2" xfId="9140"/>
    <cellStyle name="la22 5 4 2 2 2 5" xfId="9141"/>
    <cellStyle name="la22 5 4 2 2 2 5 2" xfId="9142"/>
    <cellStyle name="la22 5 4 2 2 2 6" xfId="9143"/>
    <cellStyle name="la22 5 4 2 2 3" xfId="9144"/>
    <cellStyle name="la22 5 4 2 2 3 2" xfId="9145"/>
    <cellStyle name="la22 5 4 2 2 3 2 2" xfId="9146"/>
    <cellStyle name="la22 5 4 2 2 3 3" xfId="9147"/>
    <cellStyle name="la22 5 4 2 2 3 3 2" xfId="9148"/>
    <cellStyle name="la22 5 4 2 2 3 4" xfId="9149"/>
    <cellStyle name="la22 5 4 2 2 3 4 2" xfId="9150"/>
    <cellStyle name="la22 5 4 2 2 3 5" xfId="9151"/>
    <cellStyle name="la22 5 4 2 2 3 5 2" xfId="9152"/>
    <cellStyle name="la22 5 4 2 2 3 6" xfId="9153"/>
    <cellStyle name="la22 5 4 2 2 4" xfId="9154"/>
    <cellStyle name="la22 5 4 2 2 4 2" xfId="9155"/>
    <cellStyle name="la22 5 4 2 2 5" xfId="9156"/>
    <cellStyle name="la22 5 4 2 2 5 2" xfId="9157"/>
    <cellStyle name="la22 5 4 2 2 6" xfId="9158"/>
    <cellStyle name="la22 5 4 2 2 6 2" xfId="9159"/>
    <cellStyle name="la22 5 4 2 2 7" xfId="9160"/>
    <cellStyle name="la22 5 4 2 2 7 2" xfId="9161"/>
    <cellStyle name="la22 5 4 2 2 8" xfId="9162"/>
    <cellStyle name="la22 5 4 2 3" xfId="9163"/>
    <cellStyle name="la22 5 4 2 3 2" xfId="9164"/>
    <cellStyle name="la22 5 4 2 3 2 2" xfId="9165"/>
    <cellStyle name="la22 5 4 2 3 3" xfId="9166"/>
    <cellStyle name="la22 5 4 2 3 3 2" xfId="9167"/>
    <cellStyle name="la22 5 4 2 3 4" xfId="9168"/>
    <cellStyle name="la22 5 4 2 3 4 2" xfId="9169"/>
    <cellStyle name="la22 5 4 2 3 5" xfId="9170"/>
    <cellStyle name="la22 5 4 2 3 5 2" xfId="9171"/>
    <cellStyle name="la22 5 4 2 3 6" xfId="9172"/>
    <cellStyle name="la22 5 4 2 4" xfId="9173"/>
    <cellStyle name="la22 5 4 2 4 2" xfId="9174"/>
    <cellStyle name="la22 5 4 2 4 2 2" xfId="9175"/>
    <cellStyle name="la22 5 4 2 4 3" xfId="9176"/>
    <cellStyle name="la22 5 4 2 4 3 2" xfId="9177"/>
    <cellStyle name="la22 5 4 2 4 4" xfId="9178"/>
    <cellStyle name="la22 5 4 2 4 4 2" xfId="9179"/>
    <cellStyle name="la22 5 4 2 4 5" xfId="9180"/>
    <cellStyle name="la22 5 4 2 4 5 2" xfId="9181"/>
    <cellStyle name="la22 5 4 2 4 6" xfId="9182"/>
    <cellStyle name="la22 5 4 2 5" xfId="9183"/>
    <cellStyle name="la22 5 4 2 5 2" xfId="9184"/>
    <cellStyle name="la22 5 4 2 6" xfId="9185"/>
    <cellStyle name="la22 5 4 2 6 2" xfId="9186"/>
    <cellStyle name="la22 5 4 2 7" xfId="9187"/>
    <cellStyle name="la22 5 4 2 7 2" xfId="9188"/>
    <cellStyle name="la22 5 4 2 8" xfId="9189"/>
    <cellStyle name="la22 5 4 2 8 2" xfId="9190"/>
    <cellStyle name="la22 5 4 2 9" xfId="9191"/>
    <cellStyle name="la22 5 4 3" xfId="9192"/>
    <cellStyle name="la22 5 4 3 2" xfId="9193"/>
    <cellStyle name="la22 5 4 3 2 2" xfId="9194"/>
    <cellStyle name="la22 5 4 3 2 2 2" xfId="9195"/>
    <cellStyle name="la22 5 4 3 2 3" xfId="9196"/>
    <cellStyle name="la22 5 4 3 2 3 2" xfId="9197"/>
    <cellStyle name="la22 5 4 3 2 4" xfId="9198"/>
    <cellStyle name="la22 5 4 3 2 4 2" xfId="9199"/>
    <cellStyle name="la22 5 4 3 2 5" xfId="9200"/>
    <cellStyle name="la22 5 4 3 2 5 2" xfId="9201"/>
    <cellStyle name="la22 5 4 3 2 6" xfId="9202"/>
    <cellStyle name="la22 5 4 3 3" xfId="9203"/>
    <cellStyle name="la22 5 4 3 3 2" xfId="9204"/>
    <cellStyle name="la22 5 4 3 3 2 2" xfId="9205"/>
    <cellStyle name="la22 5 4 3 3 3" xfId="9206"/>
    <cellStyle name="la22 5 4 3 3 3 2" xfId="9207"/>
    <cellStyle name="la22 5 4 3 3 4" xfId="9208"/>
    <cellStyle name="la22 5 4 3 3 4 2" xfId="9209"/>
    <cellStyle name="la22 5 4 3 3 5" xfId="9210"/>
    <cellStyle name="la22 5 4 3 3 5 2" xfId="9211"/>
    <cellStyle name="la22 5 4 3 3 6" xfId="9212"/>
    <cellStyle name="la22 5 4 3 4" xfId="9213"/>
    <cellStyle name="la22 5 4 3 4 2" xfId="9214"/>
    <cellStyle name="la22 5 4 3 5" xfId="9215"/>
    <cellStyle name="la22 5 4 3 5 2" xfId="9216"/>
    <cellStyle name="la22 5 4 3 6" xfId="9217"/>
    <cellStyle name="la22 5 4 3 6 2" xfId="9218"/>
    <cellStyle name="la22 5 4 3 7" xfId="9219"/>
    <cellStyle name="la22 5 4 3 7 2" xfId="9220"/>
    <cellStyle name="la22 5 4 3 8" xfId="9221"/>
    <cellStyle name="la22 5 4 4" xfId="9222"/>
    <cellStyle name="la22 5 4 4 2" xfId="9223"/>
    <cellStyle name="la22 5 4 4 2 2" xfId="9224"/>
    <cellStyle name="la22 5 4 4 3" xfId="9225"/>
    <cellStyle name="la22 5 4 4 3 2" xfId="9226"/>
    <cellStyle name="la22 5 4 4 4" xfId="9227"/>
    <cellStyle name="la22 5 4 4 4 2" xfId="9228"/>
    <cellStyle name="la22 5 4 4 5" xfId="9229"/>
    <cellStyle name="la22 5 4 4 5 2" xfId="9230"/>
    <cellStyle name="la22 5 4 4 6" xfId="9231"/>
    <cellStyle name="la22 5 4 5" xfId="9232"/>
    <cellStyle name="la22 5 4 5 2" xfId="9233"/>
    <cellStyle name="la22 5 4 5 2 2" xfId="9234"/>
    <cellStyle name="la22 5 4 5 3" xfId="9235"/>
    <cellStyle name="la22 5 4 5 3 2" xfId="9236"/>
    <cellStyle name="la22 5 4 5 4" xfId="9237"/>
    <cellStyle name="la22 5 4 5 4 2" xfId="9238"/>
    <cellStyle name="la22 5 4 5 5" xfId="9239"/>
    <cellStyle name="la22 5 4 5 5 2" xfId="9240"/>
    <cellStyle name="la22 5 4 5 6" xfId="9241"/>
    <cellStyle name="la22 5 4 6" xfId="9242"/>
    <cellStyle name="la22 5 4 6 2" xfId="9243"/>
    <cellStyle name="la22 5 4 7" xfId="9244"/>
    <cellStyle name="la22 5 4 7 2" xfId="9245"/>
    <cellStyle name="la22 5 4 8" xfId="9246"/>
    <cellStyle name="la22 5 4 8 2" xfId="9247"/>
    <cellStyle name="la22 5 4 9" xfId="9248"/>
    <cellStyle name="la22 5 4 9 2" xfId="9249"/>
    <cellStyle name="la22 5 5" xfId="2237"/>
    <cellStyle name="la22 5 5 2" xfId="9250"/>
    <cellStyle name="la22 5 5 2 2" xfId="9251"/>
    <cellStyle name="la22 5 5 2 2 2" xfId="9252"/>
    <cellStyle name="la22 5 5 2 2 2 2" xfId="9253"/>
    <cellStyle name="la22 5 5 2 2 3" xfId="9254"/>
    <cellStyle name="la22 5 5 2 2 3 2" xfId="9255"/>
    <cellStyle name="la22 5 5 2 2 4" xfId="9256"/>
    <cellStyle name="la22 5 5 2 2 4 2" xfId="9257"/>
    <cellStyle name="la22 5 5 2 2 5" xfId="9258"/>
    <cellStyle name="la22 5 5 2 2 5 2" xfId="9259"/>
    <cellStyle name="la22 5 5 2 2 6" xfId="9260"/>
    <cellStyle name="la22 5 5 2 3" xfId="9261"/>
    <cellStyle name="la22 5 5 2 3 2" xfId="9262"/>
    <cellStyle name="la22 5 5 2 3 2 2" xfId="9263"/>
    <cellStyle name="la22 5 5 2 3 3" xfId="9264"/>
    <cellStyle name="la22 5 5 2 3 3 2" xfId="9265"/>
    <cellStyle name="la22 5 5 2 3 4" xfId="9266"/>
    <cellStyle name="la22 5 5 2 3 4 2" xfId="9267"/>
    <cellStyle name="la22 5 5 2 3 5" xfId="9268"/>
    <cellStyle name="la22 5 5 2 3 5 2" xfId="9269"/>
    <cellStyle name="la22 5 5 2 3 6" xfId="9270"/>
    <cellStyle name="la22 5 5 2 4" xfId="9271"/>
    <cellStyle name="la22 5 5 2 4 2" xfId="9272"/>
    <cellStyle name="la22 5 5 2 5" xfId="9273"/>
    <cellStyle name="la22 5 5 2 5 2" xfId="9274"/>
    <cellStyle name="la22 5 5 2 6" xfId="9275"/>
    <cellStyle name="la22 5 5 2 6 2" xfId="9276"/>
    <cellStyle name="la22 5 5 2 7" xfId="9277"/>
    <cellStyle name="la22 5 5 2 7 2" xfId="9278"/>
    <cellStyle name="la22 5 5 2 8" xfId="9279"/>
    <cellStyle name="la22 5 5 3" xfId="9280"/>
    <cellStyle name="la22 5 5 3 2" xfId="9281"/>
    <cellStyle name="la22 5 5 3 2 2" xfId="9282"/>
    <cellStyle name="la22 5 5 3 3" xfId="9283"/>
    <cellStyle name="la22 5 5 3 3 2" xfId="9284"/>
    <cellStyle name="la22 5 5 3 4" xfId="9285"/>
    <cellStyle name="la22 5 5 3 4 2" xfId="9286"/>
    <cellStyle name="la22 5 5 3 5" xfId="9287"/>
    <cellStyle name="la22 5 5 3 5 2" xfId="9288"/>
    <cellStyle name="la22 5 5 3 6" xfId="9289"/>
    <cellStyle name="la22 5 5 4" xfId="9290"/>
    <cellStyle name="la22 5 5 4 2" xfId="9291"/>
    <cellStyle name="la22 5 5 4 2 2" xfId="9292"/>
    <cellStyle name="la22 5 5 4 3" xfId="9293"/>
    <cellStyle name="la22 5 5 4 3 2" xfId="9294"/>
    <cellStyle name="la22 5 5 4 4" xfId="9295"/>
    <cellStyle name="la22 5 5 4 4 2" xfId="9296"/>
    <cellStyle name="la22 5 5 4 5" xfId="9297"/>
    <cellStyle name="la22 5 5 4 5 2" xfId="9298"/>
    <cellStyle name="la22 5 5 4 6" xfId="9299"/>
    <cellStyle name="la22 5 5 5" xfId="9300"/>
    <cellStyle name="la22 5 5 5 2" xfId="9301"/>
    <cellStyle name="la22 5 5 6" xfId="9302"/>
    <cellStyle name="la22 5 5 6 2" xfId="9303"/>
    <cellStyle name="la22 5 5 7" xfId="9304"/>
    <cellStyle name="la22 5 5 7 2" xfId="9305"/>
    <cellStyle name="la22 5 5 8" xfId="9306"/>
    <cellStyle name="la22 5 5 8 2" xfId="9307"/>
    <cellStyle name="la22 5 5 9" xfId="9308"/>
    <cellStyle name="la22 5 6" xfId="9309"/>
    <cellStyle name="la22 5 6 2" xfId="9310"/>
    <cellStyle name="la22 5 6 2 2" xfId="9311"/>
    <cellStyle name="la22 5 6 2 2 2" xfId="9312"/>
    <cellStyle name="la22 5 6 2 3" xfId="9313"/>
    <cellStyle name="la22 5 6 2 3 2" xfId="9314"/>
    <cellStyle name="la22 5 6 2 4" xfId="9315"/>
    <cellStyle name="la22 5 6 2 4 2" xfId="9316"/>
    <cellStyle name="la22 5 6 2 5" xfId="9317"/>
    <cellStyle name="la22 5 6 2 5 2" xfId="9318"/>
    <cellStyle name="la22 5 6 2 6" xfId="9319"/>
    <cellStyle name="la22 5 6 3" xfId="9320"/>
    <cellStyle name="la22 5 6 3 2" xfId="9321"/>
    <cellStyle name="la22 5 6 3 2 2" xfId="9322"/>
    <cellStyle name="la22 5 6 3 3" xfId="9323"/>
    <cellStyle name="la22 5 6 3 3 2" xfId="9324"/>
    <cellStyle name="la22 5 6 3 4" xfId="9325"/>
    <cellStyle name="la22 5 6 3 4 2" xfId="9326"/>
    <cellStyle name="la22 5 6 3 5" xfId="9327"/>
    <cellStyle name="la22 5 6 3 5 2" xfId="9328"/>
    <cellStyle name="la22 5 6 3 6" xfId="9329"/>
    <cellStyle name="la22 5 6 4" xfId="9330"/>
    <cellStyle name="la22 5 6 4 2" xfId="9331"/>
    <cellStyle name="la22 5 6 5" xfId="9332"/>
    <cellStyle name="la22 5 6 5 2" xfId="9333"/>
    <cellStyle name="la22 5 6 6" xfId="9334"/>
    <cellStyle name="la22 5 6 6 2" xfId="9335"/>
    <cellStyle name="la22 5 6 7" xfId="9336"/>
    <cellStyle name="la22 5 6 7 2" xfId="9337"/>
    <cellStyle name="la22 5 6 8" xfId="9338"/>
    <cellStyle name="la22 5 7" xfId="9339"/>
    <cellStyle name="la22 5 7 2" xfId="9340"/>
    <cellStyle name="la22 5 7 2 2" xfId="9341"/>
    <cellStyle name="la22 5 7 3" xfId="9342"/>
    <cellStyle name="la22 5 7 3 2" xfId="9343"/>
    <cellStyle name="la22 5 7 4" xfId="9344"/>
    <cellStyle name="la22 5 7 4 2" xfId="9345"/>
    <cellStyle name="la22 5 7 5" xfId="9346"/>
    <cellStyle name="la22 5 7 5 2" xfId="9347"/>
    <cellStyle name="la22 5 7 6" xfId="9348"/>
    <cellStyle name="la22 5 8" xfId="9349"/>
    <cellStyle name="la22 5 8 2" xfId="9350"/>
    <cellStyle name="la22 5 8 2 2" xfId="9351"/>
    <cellStyle name="la22 5 8 3" xfId="9352"/>
    <cellStyle name="la22 5 8 3 2" xfId="9353"/>
    <cellStyle name="la22 5 8 4" xfId="9354"/>
    <cellStyle name="la22 5 8 4 2" xfId="9355"/>
    <cellStyle name="la22 5 8 5" xfId="9356"/>
    <cellStyle name="la22 5 8 5 2" xfId="9357"/>
    <cellStyle name="la22 5 8 6" xfId="9358"/>
    <cellStyle name="la22 5 9" xfId="9359"/>
    <cellStyle name="la22 5 9 2" xfId="9360"/>
    <cellStyle name="la22 6" xfId="700"/>
    <cellStyle name="la22 6 10" xfId="9361"/>
    <cellStyle name="la22 6 10 2" xfId="9362"/>
    <cellStyle name="la22 6 11" xfId="9363"/>
    <cellStyle name="la22 6 11 2" xfId="9364"/>
    <cellStyle name="la22 6 12" xfId="9365"/>
    <cellStyle name="la22 6 12 2" xfId="9366"/>
    <cellStyle name="la22 6 13" xfId="9367"/>
    <cellStyle name="la22 6 2" xfId="2238"/>
    <cellStyle name="la22 6 2 10" xfId="9368"/>
    <cellStyle name="la22 6 2 2" xfId="2239"/>
    <cellStyle name="la22 6 2 2 2" xfId="9369"/>
    <cellStyle name="la22 6 2 2 2 2" xfId="9370"/>
    <cellStyle name="la22 6 2 2 2 2 2" xfId="9371"/>
    <cellStyle name="la22 6 2 2 2 2 2 2" xfId="9372"/>
    <cellStyle name="la22 6 2 2 2 2 3" xfId="9373"/>
    <cellStyle name="la22 6 2 2 2 2 3 2" xfId="9374"/>
    <cellStyle name="la22 6 2 2 2 2 4" xfId="9375"/>
    <cellStyle name="la22 6 2 2 2 2 4 2" xfId="9376"/>
    <cellStyle name="la22 6 2 2 2 2 5" xfId="9377"/>
    <cellStyle name="la22 6 2 2 2 2 5 2" xfId="9378"/>
    <cellStyle name="la22 6 2 2 2 2 6" xfId="9379"/>
    <cellStyle name="la22 6 2 2 2 3" xfId="9380"/>
    <cellStyle name="la22 6 2 2 2 3 2" xfId="9381"/>
    <cellStyle name="la22 6 2 2 2 3 2 2" xfId="9382"/>
    <cellStyle name="la22 6 2 2 2 3 3" xfId="9383"/>
    <cellStyle name="la22 6 2 2 2 3 3 2" xfId="9384"/>
    <cellStyle name="la22 6 2 2 2 3 4" xfId="9385"/>
    <cellStyle name="la22 6 2 2 2 3 4 2" xfId="9386"/>
    <cellStyle name="la22 6 2 2 2 3 5" xfId="9387"/>
    <cellStyle name="la22 6 2 2 2 3 5 2" xfId="9388"/>
    <cellStyle name="la22 6 2 2 2 3 6" xfId="9389"/>
    <cellStyle name="la22 6 2 2 2 4" xfId="9390"/>
    <cellStyle name="la22 6 2 2 2 4 2" xfId="9391"/>
    <cellStyle name="la22 6 2 2 2 5" xfId="9392"/>
    <cellStyle name="la22 6 2 2 2 5 2" xfId="9393"/>
    <cellStyle name="la22 6 2 2 2 6" xfId="9394"/>
    <cellStyle name="la22 6 2 2 2 6 2" xfId="9395"/>
    <cellStyle name="la22 6 2 2 2 7" xfId="9396"/>
    <cellStyle name="la22 6 2 2 2 7 2" xfId="9397"/>
    <cellStyle name="la22 6 2 2 2 8" xfId="9398"/>
    <cellStyle name="la22 6 2 2 3" xfId="9399"/>
    <cellStyle name="la22 6 2 2 3 2" xfId="9400"/>
    <cellStyle name="la22 6 2 2 3 2 2" xfId="9401"/>
    <cellStyle name="la22 6 2 2 3 3" xfId="9402"/>
    <cellStyle name="la22 6 2 2 3 3 2" xfId="9403"/>
    <cellStyle name="la22 6 2 2 3 4" xfId="9404"/>
    <cellStyle name="la22 6 2 2 3 4 2" xfId="9405"/>
    <cellStyle name="la22 6 2 2 3 5" xfId="9406"/>
    <cellStyle name="la22 6 2 2 3 5 2" xfId="9407"/>
    <cellStyle name="la22 6 2 2 3 6" xfId="9408"/>
    <cellStyle name="la22 6 2 2 4" xfId="9409"/>
    <cellStyle name="la22 6 2 2 4 2" xfId="9410"/>
    <cellStyle name="la22 6 2 2 4 2 2" xfId="9411"/>
    <cellStyle name="la22 6 2 2 4 3" xfId="9412"/>
    <cellStyle name="la22 6 2 2 4 3 2" xfId="9413"/>
    <cellStyle name="la22 6 2 2 4 4" xfId="9414"/>
    <cellStyle name="la22 6 2 2 4 4 2" xfId="9415"/>
    <cellStyle name="la22 6 2 2 4 5" xfId="9416"/>
    <cellStyle name="la22 6 2 2 4 5 2" xfId="9417"/>
    <cellStyle name="la22 6 2 2 4 6" xfId="9418"/>
    <cellStyle name="la22 6 2 2 5" xfId="9419"/>
    <cellStyle name="la22 6 2 2 5 2" xfId="9420"/>
    <cellStyle name="la22 6 2 2 6" xfId="9421"/>
    <cellStyle name="la22 6 2 2 6 2" xfId="9422"/>
    <cellStyle name="la22 6 2 2 7" xfId="9423"/>
    <cellStyle name="la22 6 2 2 7 2" xfId="9424"/>
    <cellStyle name="la22 6 2 2 8" xfId="9425"/>
    <cellStyle name="la22 6 2 2 8 2" xfId="9426"/>
    <cellStyle name="la22 6 2 2 9" xfId="9427"/>
    <cellStyle name="la22 6 2 3" xfId="9428"/>
    <cellStyle name="la22 6 2 3 2" xfId="9429"/>
    <cellStyle name="la22 6 2 3 2 2" xfId="9430"/>
    <cellStyle name="la22 6 2 3 2 2 2" xfId="9431"/>
    <cellStyle name="la22 6 2 3 2 3" xfId="9432"/>
    <cellStyle name="la22 6 2 3 2 3 2" xfId="9433"/>
    <cellStyle name="la22 6 2 3 2 4" xfId="9434"/>
    <cellStyle name="la22 6 2 3 2 4 2" xfId="9435"/>
    <cellStyle name="la22 6 2 3 2 5" xfId="9436"/>
    <cellStyle name="la22 6 2 3 2 5 2" xfId="9437"/>
    <cellStyle name="la22 6 2 3 2 6" xfId="9438"/>
    <cellStyle name="la22 6 2 3 3" xfId="9439"/>
    <cellStyle name="la22 6 2 3 3 2" xfId="9440"/>
    <cellStyle name="la22 6 2 3 3 2 2" xfId="9441"/>
    <cellStyle name="la22 6 2 3 3 3" xfId="9442"/>
    <cellStyle name="la22 6 2 3 3 3 2" xfId="9443"/>
    <cellStyle name="la22 6 2 3 3 4" xfId="9444"/>
    <cellStyle name="la22 6 2 3 3 4 2" xfId="9445"/>
    <cellStyle name="la22 6 2 3 3 5" xfId="9446"/>
    <cellStyle name="la22 6 2 3 3 5 2" xfId="9447"/>
    <cellStyle name="la22 6 2 3 3 6" xfId="9448"/>
    <cellStyle name="la22 6 2 3 4" xfId="9449"/>
    <cellStyle name="la22 6 2 3 4 2" xfId="9450"/>
    <cellStyle name="la22 6 2 3 5" xfId="9451"/>
    <cellStyle name="la22 6 2 3 5 2" xfId="9452"/>
    <cellStyle name="la22 6 2 3 6" xfId="9453"/>
    <cellStyle name="la22 6 2 3 6 2" xfId="9454"/>
    <cellStyle name="la22 6 2 3 7" xfId="9455"/>
    <cellStyle name="la22 6 2 3 7 2" xfId="9456"/>
    <cellStyle name="la22 6 2 3 8" xfId="9457"/>
    <cellStyle name="la22 6 2 4" xfId="9458"/>
    <cellStyle name="la22 6 2 4 2" xfId="9459"/>
    <cellStyle name="la22 6 2 4 2 2" xfId="9460"/>
    <cellStyle name="la22 6 2 4 3" xfId="9461"/>
    <cellStyle name="la22 6 2 4 3 2" xfId="9462"/>
    <cellStyle name="la22 6 2 4 4" xfId="9463"/>
    <cellStyle name="la22 6 2 4 4 2" xfId="9464"/>
    <cellStyle name="la22 6 2 4 5" xfId="9465"/>
    <cellStyle name="la22 6 2 4 5 2" xfId="9466"/>
    <cellStyle name="la22 6 2 4 6" xfId="9467"/>
    <cellStyle name="la22 6 2 5" xfId="9468"/>
    <cellStyle name="la22 6 2 5 2" xfId="9469"/>
    <cellStyle name="la22 6 2 5 2 2" xfId="9470"/>
    <cellStyle name="la22 6 2 5 3" xfId="9471"/>
    <cellStyle name="la22 6 2 5 3 2" xfId="9472"/>
    <cellStyle name="la22 6 2 5 4" xfId="9473"/>
    <cellStyle name="la22 6 2 5 4 2" xfId="9474"/>
    <cellStyle name="la22 6 2 5 5" xfId="9475"/>
    <cellStyle name="la22 6 2 5 5 2" xfId="9476"/>
    <cellStyle name="la22 6 2 5 6" xfId="9477"/>
    <cellStyle name="la22 6 2 6" xfId="9478"/>
    <cellStyle name="la22 6 2 6 2" xfId="9479"/>
    <cellStyle name="la22 6 2 7" xfId="9480"/>
    <cellStyle name="la22 6 2 7 2" xfId="9481"/>
    <cellStyle name="la22 6 2 8" xfId="9482"/>
    <cellStyle name="la22 6 2 8 2" xfId="9483"/>
    <cellStyle name="la22 6 2 9" xfId="9484"/>
    <cellStyle name="la22 6 2 9 2" xfId="9485"/>
    <cellStyle name="la22 6 3" xfId="2240"/>
    <cellStyle name="la22 6 3 10" xfId="9486"/>
    <cellStyle name="la22 6 3 2" xfId="2241"/>
    <cellStyle name="la22 6 3 2 2" xfId="9487"/>
    <cellStyle name="la22 6 3 2 2 2" xfId="9488"/>
    <cellStyle name="la22 6 3 2 2 2 2" xfId="9489"/>
    <cellStyle name="la22 6 3 2 2 2 2 2" xfId="9490"/>
    <cellStyle name="la22 6 3 2 2 2 3" xfId="9491"/>
    <cellStyle name="la22 6 3 2 2 2 3 2" xfId="9492"/>
    <cellStyle name="la22 6 3 2 2 2 4" xfId="9493"/>
    <cellStyle name="la22 6 3 2 2 2 4 2" xfId="9494"/>
    <cellStyle name="la22 6 3 2 2 2 5" xfId="9495"/>
    <cellStyle name="la22 6 3 2 2 2 5 2" xfId="9496"/>
    <cellStyle name="la22 6 3 2 2 2 6" xfId="9497"/>
    <cellStyle name="la22 6 3 2 2 3" xfId="9498"/>
    <cellStyle name="la22 6 3 2 2 3 2" xfId="9499"/>
    <cellStyle name="la22 6 3 2 2 3 2 2" xfId="9500"/>
    <cellStyle name="la22 6 3 2 2 3 3" xfId="9501"/>
    <cellStyle name="la22 6 3 2 2 3 3 2" xfId="9502"/>
    <cellStyle name="la22 6 3 2 2 3 4" xfId="9503"/>
    <cellStyle name="la22 6 3 2 2 3 4 2" xfId="9504"/>
    <cellStyle name="la22 6 3 2 2 3 5" xfId="9505"/>
    <cellStyle name="la22 6 3 2 2 3 5 2" xfId="9506"/>
    <cellStyle name="la22 6 3 2 2 3 6" xfId="9507"/>
    <cellStyle name="la22 6 3 2 2 4" xfId="9508"/>
    <cellStyle name="la22 6 3 2 2 4 2" xfId="9509"/>
    <cellStyle name="la22 6 3 2 2 5" xfId="9510"/>
    <cellStyle name="la22 6 3 2 2 5 2" xfId="9511"/>
    <cellStyle name="la22 6 3 2 2 6" xfId="9512"/>
    <cellStyle name="la22 6 3 2 2 6 2" xfId="9513"/>
    <cellStyle name="la22 6 3 2 2 7" xfId="9514"/>
    <cellStyle name="la22 6 3 2 2 7 2" xfId="9515"/>
    <cellStyle name="la22 6 3 2 2 8" xfId="9516"/>
    <cellStyle name="la22 6 3 2 3" xfId="9517"/>
    <cellStyle name="la22 6 3 2 3 2" xfId="9518"/>
    <cellStyle name="la22 6 3 2 3 2 2" xfId="9519"/>
    <cellStyle name="la22 6 3 2 3 3" xfId="9520"/>
    <cellStyle name="la22 6 3 2 3 3 2" xfId="9521"/>
    <cellStyle name="la22 6 3 2 3 4" xfId="9522"/>
    <cellStyle name="la22 6 3 2 3 4 2" xfId="9523"/>
    <cellStyle name="la22 6 3 2 3 5" xfId="9524"/>
    <cellStyle name="la22 6 3 2 3 5 2" xfId="9525"/>
    <cellStyle name="la22 6 3 2 3 6" xfId="9526"/>
    <cellStyle name="la22 6 3 2 4" xfId="9527"/>
    <cellStyle name="la22 6 3 2 4 2" xfId="9528"/>
    <cellStyle name="la22 6 3 2 4 2 2" xfId="9529"/>
    <cellStyle name="la22 6 3 2 4 3" xfId="9530"/>
    <cellStyle name="la22 6 3 2 4 3 2" xfId="9531"/>
    <cellStyle name="la22 6 3 2 4 4" xfId="9532"/>
    <cellStyle name="la22 6 3 2 4 4 2" xfId="9533"/>
    <cellStyle name="la22 6 3 2 4 5" xfId="9534"/>
    <cellStyle name="la22 6 3 2 4 5 2" xfId="9535"/>
    <cellStyle name="la22 6 3 2 4 6" xfId="9536"/>
    <cellStyle name="la22 6 3 2 5" xfId="9537"/>
    <cellStyle name="la22 6 3 2 5 2" xfId="9538"/>
    <cellStyle name="la22 6 3 2 6" xfId="9539"/>
    <cellStyle name="la22 6 3 2 6 2" xfId="9540"/>
    <cellStyle name="la22 6 3 2 7" xfId="9541"/>
    <cellStyle name="la22 6 3 2 7 2" xfId="9542"/>
    <cellStyle name="la22 6 3 2 8" xfId="9543"/>
    <cellStyle name="la22 6 3 2 8 2" xfId="9544"/>
    <cellStyle name="la22 6 3 2 9" xfId="9545"/>
    <cellStyle name="la22 6 3 3" xfId="9546"/>
    <cellStyle name="la22 6 3 3 2" xfId="9547"/>
    <cellStyle name="la22 6 3 3 2 2" xfId="9548"/>
    <cellStyle name="la22 6 3 3 2 2 2" xfId="9549"/>
    <cellStyle name="la22 6 3 3 2 3" xfId="9550"/>
    <cellStyle name="la22 6 3 3 2 3 2" xfId="9551"/>
    <cellStyle name="la22 6 3 3 2 4" xfId="9552"/>
    <cellStyle name="la22 6 3 3 2 4 2" xfId="9553"/>
    <cellStyle name="la22 6 3 3 2 5" xfId="9554"/>
    <cellStyle name="la22 6 3 3 2 5 2" xfId="9555"/>
    <cellStyle name="la22 6 3 3 2 6" xfId="9556"/>
    <cellStyle name="la22 6 3 3 3" xfId="9557"/>
    <cellStyle name="la22 6 3 3 3 2" xfId="9558"/>
    <cellStyle name="la22 6 3 3 3 2 2" xfId="9559"/>
    <cellStyle name="la22 6 3 3 3 3" xfId="9560"/>
    <cellStyle name="la22 6 3 3 3 3 2" xfId="9561"/>
    <cellStyle name="la22 6 3 3 3 4" xfId="9562"/>
    <cellStyle name="la22 6 3 3 3 4 2" xfId="9563"/>
    <cellStyle name="la22 6 3 3 3 5" xfId="9564"/>
    <cellStyle name="la22 6 3 3 3 5 2" xfId="9565"/>
    <cellStyle name="la22 6 3 3 3 6" xfId="9566"/>
    <cellStyle name="la22 6 3 3 4" xfId="9567"/>
    <cellStyle name="la22 6 3 3 4 2" xfId="9568"/>
    <cellStyle name="la22 6 3 3 5" xfId="9569"/>
    <cellStyle name="la22 6 3 3 5 2" xfId="9570"/>
    <cellStyle name="la22 6 3 3 6" xfId="9571"/>
    <cellStyle name="la22 6 3 3 6 2" xfId="9572"/>
    <cellStyle name="la22 6 3 3 7" xfId="9573"/>
    <cellStyle name="la22 6 3 3 7 2" xfId="9574"/>
    <cellStyle name="la22 6 3 3 8" xfId="9575"/>
    <cellStyle name="la22 6 3 4" xfId="9576"/>
    <cellStyle name="la22 6 3 4 2" xfId="9577"/>
    <cellStyle name="la22 6 3 4 2 2" xfId="9578"/>
    <cellStyle name="la22 6 3 4 3" xfId="9579"/>
    <cellStyle name="la22 6 3 4 3 2" xfId="9580"/>
    <cellStyle name="la22 6 3 4 4" xfId="9581"/>
    <cellStyle name="la22 6 3 4 4 2" xfId="9582"/>
    <cellStyle name="la22 6 3 4 5" xfId="9583"/>
    <cellStyle name="la22 6 3 4 5 2" xfId="9584"/>
    <cellStyle name="la22 6 3 4 6" xfId="9585"/>
    <cellStyle name="la22 6 3 5" xfId="9586"/>
    <cellStyle name="la22 6 3 5 2" xfId="9587"/>
    <cellStyle name="la22 6 3 5 2 2" xfId="9588"/>
    <cellStyle name="la22 6 3 5 3" xfId="9589"/>
    <cellStyle name="la22 6 3 5 3 2" xfId="9590"/>
    <cellStyle name="la22 6 3 5 4" xfId="9591"/>
    <cellStyle name="la22 6 3 5 4 2" xfId="9592"/>
    <cellStyle name="la22 6 3 5 5" xfId="9593"/>
    <cellStyle name="la22 6 3 5 5 2" xfId="9594"/>
    <cellStyle name="la22 6 3 5 6" xfId="9595"/>
    <cellStyle name="la22 6 3 6" xfId="9596"/>
    <cellStyle name="la22 6 3 6 2" xfId="9597"/>
    <cellStyle name="la22 6 3 7" xfId="9598"/>
    <cellStyle name="la22 6 3 7 2" xfId="9599"/>
    <cellStyle name="la22 6 3 8" xfId="9600"/>
    <cellStyle name="la22 6 3 8 2" xfId="9601"/>
    <cellStyle name="la22 6 3 9" xfId="9602"/>
    <cellStyle name="la22 6 3 9 2" xfId="9603"/>
    <cellStyle name="la22 6 4" xfId="2242"/>
    <cellStyle name="la22 6 4 10" xfId="9604"/>
    <cellStyle name="la22 6 4 2" xfId="2243"/>
    <cellStyle name="la22 6 4 2 2" xfId="9605"/>
    <cellStyle name="la22 6 4 2 2 2" xfId="9606"/>
    <cellStyle name="la22 6 4 2 2 2 2" xfId="9607"/>
    <cellStyle name="la22 6 4 2 2 2 2 2" xfId="9608"/>
    <cellStyle name="la22 6 4 2 2 2 3" xfId="9609"/>
    <cellStyle name="la22 6 4 2 2 2 3 2" xfId="9610"/>
    <cellStyle name="la22 6 4 2 2 2 4" xfId="9611"/>
    <cellStyle name="la22 6 4 2 2 2 4 2" xfId="9612"/>
    <cellStyle name="la22 6 4 2 2 2 5" xfId="9613"/>
    <cellStyle name="la22 6 4 2 2 2 5 2" xfId="9614"/>
    <cellStyle name="la22 6 4 2 2 2 6" xfId="9615"/>
    <cellStyle name="la22 6 4 2 2 3" xfId="9616"/>
    <cellStyle name="la22 6 4 2 2 3 2" xfId="9617"/>
    <cellStyle name="la22 6 4 2 2 3 2 2" xfId="9618"/>
    <cellStyle name="la22 6 4 2 2 3 3" xfId="9619"/>
    <cellStyle name="la22 6 4 2 2 3 3 2" xfId="9620"/>
    <cellStyle name="la22 6 4 2 2 3 4" xfId="9621"/>
    <cellStyle name="la22 6 4 2 2 3 4 2" xfId="9622"/>
    <cellStyle name="la22 6 4 2 2 3 5" xfId="9623"/>
    <cellStyle name="la22 6 4 2 2 3 5 2" xfId="9624"/>
    <cellStyle name="la22 6 4 2 2 3 6" xfId="9625"/>
    <cellStyle name="la22 6 4 2 2 4" xfId="9626"/>
    <cellStyle name="la22 6 4 2 2 4 2" xfId="9627"/>
    <cellStyle name="la22 6 4 2 2 5" xfId="9628"/>
    <cellStyle name="la22 6 4 2 2 5 2" xfId="9629"/>
    <cellStyle name="la22 6 4 2 2 6" xfId="9630"/>
    <cellStyle name="la22 6 4 2 2 6 2" xfId="9631"/>
    <cellStyle name="la22 6 4 2 2 7" xfId="9632"/>
    <cellStyle name="la22 6 4 2 2 7 2" xfId="9633"/>
    <cellStyle name="la22 6 4 2 2 8" xfId="9634"/>
    <cellStyle name="la22 6 4 2 3" xfId="9635"/>
    <cellStyle name="la22 6 4 2 3 2" xfId="9636"/>
    <cellStyle name="la22 6 4 2 3 2 2" xfId="9637"/>
    <cellStyle name="la22 6 4 2 3 3" xfId="9638"/>
    <cellStyle name="la22 6 4 2 3 3 2" xfId="9639"/>
    <cellStyle name="la22 6 4 2 3 4" xfId="9640"/>
    <cellStyle name="la22 6 4 2 3 4 2" xfId="9641"/>
    <cellStyle name="la22 6 4 2 3 5" xfId="9642"/>
    <cellStyle name="la22 6 4 2 3 5 2" xfId="9643"/>
    <cellStyle name="la22 6 4 2 3 6" xfId="9644"/>
    <cellStyle name="la22 6 4 2 4" xfId="9645"/>
    <cellStyle name="la22 6 4 2 4 2" xfId="9646"/>
    <cellStyle name="la22 6 4 2 4 2 2" xfId="9647"/>
    <cellStyle name="la22 6 4 2 4 3" xfId="9648"/>
    <cellStyle name="la22 6 4 2 4 3 2" xfId="9649"/>
    <cellStyle name="la22 6 4 2 4 4" xfId="9650"/>
    <cellStyle name="la22 6 4 2 4 4 2" xfId="9651"/>
    <cellStyle name="la22 6 4 2 4 5" xfId="9652"/>
    <cellStyle name="la22 6 4 2 4 5 2" xfId="9653"/>
    <cellStyle name="la22 6 4 2 4 6" xfId="9654"/>
    <cellStyle name="la22 6 4 2 5" xfId="9655"/>
    <cellStyle name="la22 6 4 2 5 2" xfId="9656"/>
    <cellStyle name="la22 6 4 2 6" xfId="9657"/>
    <cellStyle name="la22 6 4 2 6 2" xfId="9658"/>
    <cellStyle name="la22 6 4 2 7" xfId="9659"/>
    <cellStyle name="la22 6 4 2 7 2" xfId="9660"/>
    <cellStyle name="la22 6 4 2 8" xfId="9661"/>
    <cellStyle name="la22 6 4 2 8 2" xfId="9662"/>
    <cellStyle name="la22 6 4 2 9" xfId="9663"/>
    <cellStyle name="la22 6 4 3" xfId="9664"/>
    <cellStyle name="la22 6 4 3 2" xfId="9665"/>
    <cellStyle name="la22 6 4 3 2 2" xfId="9666"/>
    <cellStyle name="la22 6 4 3 2 2 2" xfId="9667"/>
    <cellStyle name="la22 6 4 3 2 3" xfId="9668"/>
    <cellStyle name="la22 6 4 3 2 3 2" xfId="9669"/>
    <cellStyle name="la22 6 4 3 2 4" xfId="9670"/>
    <cellStyle name="la22 6 4 3 2 4 2" xfId="9671"/>
    <cellStyle name="la22 6 4 3 2 5" xfId="9672"/>
    <cellStyle name="la22 6 4 3 2 5 2" xfId="9673"/>
    <cellStyle name="la22 6 4 3 2 6" xfId="9674"/>
    <cellStyle name="la22 6 4 3 3" xfId="9675"/>
    <cellStyle name="la22 6 4 3 3 2" xfId="9676"/>
    <cellStyle name="la22 6 4 3 3 2 2" xfId="9677"/>
    <cellStyle name="la22 6 4 3 3 3" xfId="9678"/>
    <cellStyle name="la22 6 4 3 3 3 2" xfId="9679"/>
    <cellStyle name="la22 6 4 3 3 4" xfId="9680"/>
    <cellStyle name="la22 6 4 3 3 4 2" xfId="9681"/>
    <cellStyle name="la22 6 4 3 3 5" xfId="9682"/>
    <cellStyle name="la22 6 4 3 3 5 2" xfId="9683"/>
    <cellStyle name="la22 6 4 3 3 6" xfId="9684"/>
    <cellStyle name="la22 6 4 3 4" xfId="9685"/>
    <cellStyle name="la22 6 4 3 4 2" xfId="9686"/>
    <cellStyle name="la22 6 4 3 5" xfId="9687"/>
    <cellStyle name="la22 6 4 3 5 2" xfId="9688"/>
    <cellStyle name="la22 6 4 3 6" xfId="9689"/>
    <cellStyle name="la22 6 4 3 6 2" xfId="9690"/>
    <cellStyle name="la22 6 4 3 7" xfId="9691"/>
    <cellStyle name="la22 6 4 3 7 2" xfId="9692"/>
    <cellStyle name="la22 6 4 3 8" xfId="9693"/>
    <cellStyle name="la22 6 4 4" xfId="9694"/>
    <cellStyle name="la22 6 4 4 2" xfId="9695"/>
    <cellStyle name="la22 6 4 4 2 2" xfId="9696"/>
    <cellStyle name="la22 6 4 4 3" xfId="9697"/>
    <cellStyle name="la22 6 4 4 3 2" xfId="9698"/>
    <cellStyle name="la22 6 4 4 4" xfId="9699"/>
    <cellStyle name="la22 6 4 4 4 2" xfId="9700"/>
    <cellStyle name="la22 6 4 4 5" xfId="9701"/>
    <cellStyle name="la22 6 4 4 5 2" xfId="9702"/>
    <cellStyle name="la22 6 4 4 6" xfId="9703"/>
    <cellStyle name="la22 6 4 5" xfId="9704"/>
    <cellStyle name="la22 6 4 5 2" xfId="9705"/>
    <cellStyle name="la22 6 4 5 2 2" xfId="9706"/>
    <cellStyle name="la22 6 4 5 3" xfId="9707"/>
    <cellStyle name="la22 6 4 5 3 2" xfId="9708"/>
    <cellStyle name="la22 6 4 5 4" xfId="9709"/>
    <cellStyle name="la22 6 4 5 4 2" xfId="9710"/>
    <cellStyle name="la22 6 4 5 5" xfId="9711"/>
    <cellStyle name="la22 6 4 5 5 2" xfId="9712"/>
    <cellStyle name="la22 6 4 5 6" xfId="9713"/>
    <cellStyle name="la22 6 4 6" xfId="9714"/>
    <cellStyle name="la22 6 4 6 2" xfId="9715"/>
    <cellStyle name="la22 6 4 7" xfId="9716"/>
    <cellStyle name="la22 6 4 7 2" xfId="9717"/>
    <cellStyle name="la22 6 4 8" xfId="9718"/>
    <cellStyle name="la22 6 4 8 2" xfId="9719"/>
    <cellStyle name="la22 6 4 9" xfId="9720"/>
    <cellStyle name="la22 6 4 9 2" xfId="9721"/>
    <cellStyle name="la22 6 5" xfId="2244"/>
    <cellStyle name="la22 6 5 2" xfId="9722"/>
    <cellStyle name="la22 6 5 2 2" xfId="9723"/>
    <cellStyle name="la22 6 5 2 2 2" xfId="9724"/>
    <cellStyle name="la22 6 5 2 2 2 2" xfId="9725"/>
    <cellStyle name="la22 6 5 2 2 3" xfId="9726"/>
    <cellStyle name="la22 6 5 2 2 3 2" xfId="9727"/>
    <cellStyle name="la22 6 5 2 2 4" xfId="9728"/>
    <cellStyle name="la22 6 5 2 2 4 2" xfId="9729"/>
    <cellStyle name="la22 6 5 2 2 5" xfId="9730"/>
    <cellStyle name="la22 6 5 2 2 5 2" xfId="9731"/>
    <cellStyle name="la22 6 5 2 2 6" xfId="9732"/>
    <cellStyle name="la22 6 5 2 3" xfId="9733"/>
    <cellStyle name="la22 6 5 2 3 2" xfId="9734"/>
    <cellStyle name="la22 6 5 2 3 2 2" xfId="9735"/>
    <cellStyle name="la22 6 5 2 3 3" xfId="9736"/>
    <cellStyle name="la22 6 5 2 3 3 2" xfId="9737"/>
    <cellStyle name="la22 6 5 2 3 4" xfId="9738"/>
    <cellStyle name="la22 6 5 2 3 4 2" xfId="9739"/>
    <cellStyle name="la22 6 5 2 3 5" xfId="9740"/>
    <cellStyle name="la22 6 5 2 3 5 2" xfId="9741"/>
    <cellStyle name="la22 6 5 2 3 6" xfId="9742"/>
    <cellStyle name="la22 6 5 2 4" xfId="9743"/>
    <cellStyle name="la22 6 5 2 4 2" xfId="9744"/>
    <cellStyle name="la22 6 5 2 5" xfId="9745"/>
    <cellStyle name="la22 6 5 2 5 2" xfId="9746"/>
    <cellStyle name="la22 6 5 2 6" xfId="9747"/>
    <cellStyle name="la22 6 5 2 6 2" xfId="9748"/>
    <cellStyle name="la22 6 5 2 7" xfId="9749"/>
    <cellStyle name="la22 6 5 2 7 2" xfId="9750"/>
    <cellStyle name="la22 6 5 2 8" xfId="9751"/>
    <cellStyle name="la22 6 5 3" xfId="9752"/>
    <cellStyle name="la22 6 5 3 2" xfId="9753"/>
    <cellStyle name="la22 6 5 3 2 2" xfId="9754"/>
    <cellStyle name="la22 6 5 3 3" xfId="9755"/>
    <cellStyle name="la22 6 5 3 3 2" xfId="9756"/>
    <cellStyle name="la22 6 5 3 4" xfId="9757"/>
    <cellStyle name="la22 6 5 3 4 2" xfId="9758"/>
    <cellStyle name="la22 6 5 3 5" xfId="9759"/>
    <cellStyle name="la22 6 5 3 5 2" xfId="9760"/>
    <cellStyle name="la22 6 5 3 6" xfId="9761"/>
    <cellStyle name="la22 6 5 4" xfId="9762"/>
    <cellStyle name="la22 6 5 4 2" xfId="9763"/>
    <cellStyle name="la22 6 5 4 2 2" xfId="9764"/>
    <cellStyle name="la22 6 5 4 3" xfId="9765"/>
    <cellStyle name="la22 6 5 4 3 2" xfId="9766"/>
    <cellStyle name="la22 6 5 4 4" xfId="9767"/>
    <cellStyle name="la22 6 5 4 4 2" xfId="9768"/>
    <cellStyle name="la22 6 5 4 5" xfId="9769"/>
    <cellStyle name="la22 6 5 4 5 2" xfId="9770"/>
    <cellStyle name="la22 6 5 4 6" xfId="9771"/>
    <cellStyle name="la22 6 5 5" xfId="9772"/>
    <cellStyle name="la22 6 5 5 2" xfId="9773"/>
    <cellStyle name="la22 6 5 6" xfId="9774"/>
    <cellStyle name="la22 6 5 6 2" xfId="9775"/>
    <cellStyle name="la22 6 5 7" xfId="9776"/>
    <cellStyle name="la22 6 5 7 2" xfId="9777"/>
    <cellStyle name="la22 6 5 8" xfId="9778"/>
    <cellStyle name="la22 6 5 8 2" xfId="9779"/>
    <cellStyle name="la22 6 5 9" xfId="9780"/>
    <cellStyle name="la22 6 6" xfId="9781"/>
    <cellStyle name="la22 6 6 2" xfId="9782"/>
    <cellStyle name="la22 6 6 2 2" xfId="9783"/>
    <cellStyle name="la22 6 6 2 2 2" xfId="9784"/>
    <cellStyle name="la22 6 6 2 3" xfId="9785"/>
    <cellStyle name="la22 6 6 2 3 2" xfId="9786"/>
    <cellStyle name="la22 6 6 2 4" xfId="9787"/>
    <cellStyle name="la22 6 6 2 4 2" xfId="9788"/>
    <cellStyle name="la22 6 6 2 5" xfId="9789"/>
    <cellStyle name="la22 6 6 2 5 2" xfId="9790"/>
    <cellStyle name="la22 6 6 2 6" xfId="9791"/>
    <cellStyle name="la22 6 6 3" xfId="9792"/>
    <cellStyle name="la22 6 6 3 2" xfId="9793"/>
    <cellStyle name="la22 6 6 3 2 2" xfId="9794"/>
    <cellStyle name="la22 6 6 3 3" xfId="9795"/>
    <cellStyle name="la22 6 6 3 3 2" xfId="9796"/>
    <cellStyle name="la22 6 6 3 4" xfId="9797"/>
    <cellStyle name="la22 6 6 3 4 2" xfId="9798"/>
    <cellStyle name="la22 6 6 3 5" xfId="9799"/>
    <cellStyle name="la22 6 6 3 5 2" xfId="9800"/>
    <cellStyle name="la22 6 6 3 6" xfId="9801"/>
    <cellStyle name="la22 6 6 4" xfId="9802"/>
    <cellStyle name="la22 6 6 4 2" xfId="9803"/>
    <cellStyle name="la22 6 6 5" xfId="9804"/>
    <cellStyle name="la22 6 6 5 2" xfId="9805"/>
    <cellStyle name="la22 6 6 6" xfId="9806"/>
    <cellStyle name="la22 6 6 6 2" xfId="9807"/>
    <cellStyle name="la22 6 6 7" xfId="9808"/>
    <cellStyle name="la22 6 6 7 2" xfId="9809"/>
    <cellStyle name="la22 6 6 8" xfId="9810"/>
    <cellStyle name="la22 6 7" xfId="9811"/>
    <cellStyle name="la22 6 7 2" xfId="9812"/>
    <cellStyle name="la22 6 7 2 2" xfId="9813"/>
    <cellStyle name="la22 6 7 3" xfId="9814"/>
    <cellStyle name="la22 6 7 3 2" xfId="9815"/>
    <cellStyle name="la22 6 7 4" xfId="9816"/>
    <cellStyle name="la22 6 7 4 2" xfId="9817"/>
    <cellStyle name="la22 6 7 5" xfId="9818"/>
    <cellStyle name="la22 6 7 5 2" xfId="9819"/>
    <cellStyle name="la22 6 7 6" xfId="9820"/>
    <cellStyle name="la22 6 8" xfId="9821"/>
    <cellStyle name="la22 6 8 2" xfId="9822"/>
    <cellStyle name="la22 6 8 2 2" xfId="9823"/>
    <cellStyle name="la22 6 8 3" xfId="9824"/>
    <cellStyle name="la22 6 8 3 2" xfId="9825"/>
    <cellStyle name="la22 6 8 4" xfId="9826"/>
    <cellStyle name="la22 6 8 4 2" xfId="9827"/>
    <cellStyle name="la22 6 8 5" xfId="9828"/>
    <cellStyle name="la22 6 8 5 2" xfId="9829"/>
    <cellStyle name="la22 6 8 6" xfId="9830"/>
    <cellStyle name="la22 6 9" xfId="9831"/>
    <cellStyle name="la22 6 9 2" xfId="9832"/>
    <cellStyle name="la22 7" xfId="701"/>
    <cellStyle name="la22 7 10" xfId="9833"/>
    <cellStyle name="la22 7 10 2" xfId="9834"/>
    <cellStyle name="la22 7 11" xfId="9835"/>
    <cellStyle name="la22 7 11 2" xfId="9836"/>
    <cellStyle name="la22 7 12" xfId="9837"/>
    <cellStyle name="la22 7 12 2" xfId="9838"/>
    <cellStyle name="la22 7 13" xfId="9839"/>
    <cellStyle name="la22 7 2" xfId="2245"/>
    <cellStyle name="la22 7 2 10" xfId="9840"/>
    <cellStyle name="la22 7 2 2" xfId="2246"/>
    <cellStyle name="la22 7 2 2 2" xfId="9841"/>
    <cellStyle name="la22 7 2 2 2 2" xfId="9842"/>
    <cellStyle name="la22 7 2 2 2 2 2" xfId="9843"/>
    <cellStyle name="la22 7 2 2 2 2 2 2" xfId="9844"/>
    <cellStyle name="la22 7 2 2 2 2 3" xfId="9845"/>
    <cellStyle name="la22 7 2 2 2 2 3 2" xfId="9846"/>
    <cellStyle name="la22 7 2 2 2 2 4" xfId="9847"/>
    <cellStyle name="la22 7 2 2 2 2 4 2" xfId="9848"/>
    <cellStyle name="la22 7 2 2 2 2 5" xfId="9849"/>
    <cellStyle name="la22 7 2 2 2 2 5 2" xfId="9850"/>
    <cellStyle name="la22 7 2 2 2 2 6" xfId="9851"/>
    <cellStyle name="la22 7 2 2 2 3" xfId="9852"/>
    <cellStyle name="la22 7 2 2 2 3 2" xfId="9853"/>
    <cellStyle name="la22 7 2 2 2 3 2 2" xfId="9854"/>
    <cellStyle name="la22 7 2 2 2 3 3" xfId="9855"/>
    <cellStyle name="la22 7 2 2 2 3 3 2" xfId="9856"/>
    <cellStyle name="la22 7 2 2 2 3 4" xfId="9857"/>
    <cellStyle name="la22 7 2 2 2 3 4 2" xfId="9858"/>
    <cellStyle name="la22 7 2 2 2 3 5" xfId="9859"/>
    <cellStyle name="la22 7 2 2 2 3 5 2" xfId="9860"/>
    <cellStyle name="la22 7 2 2 2 3 6" xfId="9861"/>
    <cellStyle name="la22 7 2 2 2 4" xfId="9862"/>
    <cellStyle name="la22 7 2 2 2 4 2" xfId="9863"/>
    <cellStyle name="la22 7 2 2 2 5" xfId="9864"/>
    <cellStyle name="la22 7 2 2 2 5 2" xfId="9865"/>
    <cellStyle name="la22 7 2 2 2 6" xfId="9866"/>
    <cellStyle name="la22 7 2 2 2 6 2" xfId="9867"/>
    <cellStyle name="la22 7 2 2 2 7" xfId="9868"/>
    <cellStyle name="la22 7 2 2 2 7 2" xfId="9869"/>
    <cellStyle name="la22 7 2 2 2 8" xfId="9870"/>
    <cellStyle name="la22 7 2 2 3" xfId="9871"/>
    <cellStyle name="la22 7 2 2 3 2" xfId="9872"/>
    <cellStyle name="la22 7 2 2 3 2 2" xfId="9873"/>
    <cellStyle name="la22 7 2 2 3 3" xfId="9874"/>
    <cellStyle name="la22 7 2 2 3 3 2" xfId="9875"/>
    <cellStyle name="la22 7 2 2 3 4" xfId="9876"/>
    <cellStyle name="la22 7 2 2 3 4 2" xfId="9877"/>
    <cellStyle name="la22 7 2 2 3 5" xfId="9878"/>
    <cellStyle name="la22 7 2 2 3 5 2" xfId="9879"/>
    <cellStyle name="la22 7 2 2 3 6" xfId="9880"/>
    <cellStyle name="la22 7 2 2 4" xfId="9881"/>
    <cellStyle name="la22 7 2 2 4 2" xfId="9882"/>
    <cellStyle name="la22 7 2 2 4 2 2" xfId="9883"/>
    <cellStyle name="la22 7 2 2 4 3" xfId="9884"/>
    <cellStyle name="la22 7 2 2 4 3 2" xfId="9885"/>
    <cellStyle name="la22 7 2 2 4 4" xfId="9886"/>
    <cellStyle name="la22 7 2 2 4 4 2" xfId="9887"/>
    <cellStyle name="la22 7 2 2 4 5" xfId="9888"/>
    <cellStyle name="la22 7 2 2 4 5 2" xfId="9889"/>
    <cellStyle name="la22 7 2 2 4 6" xfId="9890"/>
    <cellStyle name="la22 7 2 2 5" xfId="9891"/>
    <cellStyle name="la22 7 2 2 5 2" xfId="9892"/>
    <cellStyle name="la22 7 2 2 6" xfId="9893"/>
    <cellStyle name="la22 7 2 2 6 2" xfId="9894"/>
    <cellStyle name="la22 7 2 2 7" xfId="9895"/>
    <cellStyle name="la22 7 2 2 7 2" xfId="9896"/>
    <cellStyle name="la22 7 2 2 8" xfId="9897"/>
    <cellStyle name="la22 7 2 2 8 2" xfId="9898"/>
    <cellStyle name="la22 7 2 2 9" xfId="9899"/>
    <cellStyle name="la22 7 2 3" xfId="9900"/>
    <cellStyle name="la22 7 2 3 2" xfId="9901"/>
    <cellStyle name="la22 7 2 3 2 2" xfId="9902"/>
    <cellStyle name="la22 7 2 3 2 2 2" xfId="9903"/>
    <cellStyle name="la22 7 2 3 2 3" xfId="9904"/>
    <cellStyle name="la22 7 2 3 2 3 2" xfId="9905"/>
    <cellStyle name="la22 7 2 3 2 4" xfId="9906"/>
    <cellStyle name="la22 7 2 3 2 4 2" xfId="9907"/>
    <cellStyle name="la22 7 2 3 2 5" xfId="9908"/>
    <cellStyle name="la22 7 2 3 2 5 2" xfId="9909"/>
    <cellStyle name="la22 7 2 3 2 6" xfId="9910"/>
    <cellStyle name="la22 7 2 3 3" xfId="9911"/>
    <cellStyle name="la22 7 2 3 3 2" xfId="9912"/>
    <cellStyle name="la22 7 2 3 3 2 2" xfId="9913"/>
    <cellStyle name="la22 7 2 3 3 3" xfId="9914"/>
    <cellStyle name="la22 7 2 3 3 3 2" xfId="9915"/>
    <cellStyle name="la22 7 2 3 3 4" xfId="9916"/>
    <cellStyle name="la22 7 2 3 3 4 2" xfId="9917"/>
    <cellStyle name="la22 7 2 3 3 5" xfId="9918"/>
    <cellStyle name="la22 7 2 3 3 5 2" xfId="9919"/>
    <cellStyle name="la22 7 2 3 3 6" xfId="9920"/>
    <cellStyle name="la22 7 2 3 4" xfId="9921"/>
    <cellStyle name="la22 7 2 3 4 2" xfId="9922"/>
    <cellStyle name="la22 7 2 3 5" xfId="9923"/>
    <cellStyle name="la22 7 2 3 5 2" xfId="9924"/>
    <cellStyle name="la22 7 2 3 6" xfId="9925"/>
    <cellStyle name="la22 7 2 3 6 2" xfId="9926"/>
    <cellStyle name="la22 7 2 3 7" xfId="9927"/>
    <cellStyle name="la22 7 2 3 7 2" xfId="9928"/>
    <cellStyle name="la22 7 2 3 8" xfId="9929"/>
    <cellStyle name="la22 7 2 4" xfId="9930"/>
    <cellStyle name="la22 7 2 4 2" xfId="9931"/>
    <cellStyle name="la22 7 2 4 2 2" xfId="9932"/>
    <cellStyle name="la22 7 2 4 3" xfId="9933"/>
    <cellStyle name="la22 7 2 4 3 2" xfId="9934"/>
    <cellStyle name="la22 7 2 4 4" xfId="9935"/>
    <cellStyle name="la22 7 2 4 4 2" xfId="9936"/>
    <cellStyle name="la22 7 2 4 5" xfId="9937"/>
    <cellStyle name="la22 7 2 4 5 2" xfId="9938"/>
    <cellStyle name="la22 7 2 4 6" xfId="9939"/>
    <cellStyle name="la22 7 2 5" xfId="9940"/>
    <cellStyle name="la22 7 2 5 2" xfId="9941"/>
    <cellStyle name="la22 7 2 5 2 2" xfId="9942"/>
    <cellStyle name="la22 7 2 5 3" xfId="9943"/>
    <cellStyle name="la22 7 2 5 3 2" xfId="9944"/>
    <cellStyle name="la22 7 2 5 4" xfId="9945"/>
    <cellStyle name="la22 7 2 5 4 2" xfId="9946"/>
    <cellStyle name="la22 7 2 5 5" xfId="9947"/>
    <cellStyle name="la22 7 2 5 5 2" xfId="9948"/>
    <cellStyle name="la22 7 2 5 6" xfId="9949"/>
    <cellStyle name="la22 7 2 6" xfId="9950"/>
    <cellStyle name="la22 7 2 6 2" xfId="9951"/>
    <cellStyle name="la22 7 2 7" xfId="9952"/>
    <cellStyle name="la22 7 2 7 2" xfId="9953"/>
    <cellStyle name="la22 7 2 8" xfId="9954"/>
    <cellStyle name="la22 7 2 8 2" xfId="9955"/>
    <cellStyle name="la22 7 2 9" xfId="9956"/>
    <cellStyle name="la22 7 2 9 2" xfId="9957"/>
    <cellStyle name="la22 7 3" xfId="2247"/>
    <cellStyle name="la22 7 3 10" xfId="9958"/>
    <cellStyle name="la22 7 3 2" xfId="2248"/>
    <cellStyle name="la22 7 3 2 2" xfId="9959"/>
    <cellStyle name="la22 7 3 2 2 2" xfId="9960"/>
    <cellStyle name="la22 7 3 2 2 2 2" xfId="9961"/>
    <cellStyle name="la22 7 3 2 2 2 2 2" xfId="9962"/>
    <cellStyle name="la22 7 3 2 2 2 3" xfId="9963"/>
    <cellStyle name="la22 7 3 2 2 2 3 2" xfId="9964"/>
    <cellStyle name="la22 7 3 2 2 2 4" xfId="9965"/>
    <cellStyle name="la22 7 3 2 2 2 4 2" xfId="9966"/>
    <cellStyle name="la22 7 3 2 2 2 5" xfId="9967"/>
    <cellStyle name="la22 7 3 2 2 2 5 2" xfId="9968"/>
    <cellStyle name="la22 7 3 2 2 2 6" xfId="9969"/>
    <cellStyle name="la22 7 3 2 2 3" xfId="9970"/>
    <cellStyle name="la22 7 3 2 2 3 2" xfId="9971"/>
    <cellStyle name="la22 7 3 2 2 3 2 2" xfId="9972"/>
    <cellStyle name="la22 7 3 2 2 3 3" xfId="9973"/>
    <cellStyle name="la22 7 3 2 2 3 3 2" xfId="9974"/>
    <cellStyle name="la22 7 3 2 2 3 4" xfId="9975"/>
    <cellStyle name="la22 7 3 2 2 3 4 2" xfId="9976"/>
    <cellStyle name="la22 7 3 2 2 3 5" xfId="9977"/>
    <cellStyle name="la22 7 3 2 2 3 5 2" xfId="9978"/>
    <cellStyle name="la22 7 3 2 2 3 6" xfId="9979"/>
    <cellStyle name="la22 7 3 2 2 4" xfId="9980"/>
    <cellStyle name="la22 7 3 2 2 4 2" xfId="9981"/>
    <cellStyle name="la22 7 3 2 2 5" xfId="9982"/>
    <cellStyle name="la22 7 3 2 2 5 2" xfId="9983"/>
    <cellStyle name="la22 7 3 2 2 6" xfId="9984"/>
    <cellStyle name="la22 7 3 2 2 6 2" xfId="9985"/>
    <cellStyle name="la22 7 3 2 2 7" xfId="9986"/>
    <cellStyle name="la22 7 3 2 2 7 2" xfId="9987"/>
    <cellStyle name="la22 7 3 2 2 8" xfId="9988"/>
    <cellStyle name="la22 7 3 2 3" xfId="9989"/>
    <cellStyle name="la22 7 3 2 3 2" xfId="9990"/>
    <cellStyle name="la22 7 3 2 3 2 2" xfId="9991"/>
    <cellStyle name="la22 7 3 2 3 3" xfId="9992"/>
    <cellStyle name="la22 7 3 2 3 3 2" xfId="9993"/>
    <cellStyle name="la22 7 3 2 3 4" xfId="9994"/>
    <cellStyle name="la22 7 3 2 3 4 2" xfId="9995"/>
    <cellStyle name="la22 7 3 2 3 5" xfId="9996"/>
    <cellStyle name="la22 7 3 2 3 5 2" xfId="9997"/>
    <cellStyle name="la22 7 3 2 3 6" xfId="9998"/>
    <cellStyle name="la22 7 3 2 4" xfId="9999"/>
    <cellStyle name="la22 7 3 2 4 2" xfId="10000"/>
    <cellStyle name="la22 7 3 2 4 2 2" xfId="10001"/>
    <cellStyle name="la22 7 3 2 4 3" xfId="10002"/>
    <cellStyle name="la22 7 3 2 4 3 2" xfId="10003"/>
    <cellStyle name="la22 7 3 2 4 4" xfId="10004"/>
    <cellStyle name="la22 7 3 2 4 4 2" xfId="10005"/>
    <cellStyle name="la22 7 3 2 4 5" xfId="10006"/>
    <cellStyle name="la22 7 3 2 4 5 2" xfId="10007"/>
    <cellStyle name="la22 7 3 2 4 6" xfId="10008"/>
    <cellStyle name="la22 7 3 2 5" xfId="10009"/>
    <cellStyle name="la22 7 3 2 5 2" xfId="10010"/>
    <cellStyle name="la22 7 3 2 6" xfId="10011"/>
    <cellStyle name="la22 7 3 2 6 2" xfId="10012"/>
    <cellStyle name="la22 7 3 2 7" xfId="10013"/>
    <cellStyle name="la22 7 3 2 7 2" xfId="10014"/>
    <cellStyle name="la22 7 3 2 8" xfId="10015"/>
    <cellStyle name="la22 7 3 2 8 2" xfId="10016"/>
    <cellStyle name="la22 7 3 2 9" xfId="10017"/>
    <cellStyle name="la22 7 3 3" xfId="10018"/>
    <cellStyle name="la22 7 3 3 2" xfId="10019"/>
    <cellStyle name="la22 7 3 3 2 2" xfId="10020"/>
    <cellStyle name="la22 7 3 3 2 2 2" xfId="10021"/>
    <cellStyle name="la22 7 3 3 2 3" xfId="10022"/>
    <cellStyle name="la22 7 3 3 2 3 2" xfId="10023"/>
    <cellStyle name="la22 7 3 3 2 4" xfId="10024"/>
    <cellStyle name="la22 7 3 3 2 4 2" xfId="10025"/>
    <cellStyle name="la22 7 3 3 2 5" xfId="10026"/>
    <cellStyle name="la22 7 3 3 2 5 2" xfId="10027"/>
    <cellStyle name="la22 7 3 3 2 6" xfId="10028"/>
    <cellStyle name="la22 7 3 3 3" xfId="10029"/>
    <cellStyle name="la22 7 3 3 3 2" xfId="10030"/>
    <cellStyle name="la22 7 3 3 3 2 2" xfId="10031"/>
    <cellStyle name="la22 7 3 3 3 3" xfId="10032"/>
    <cellStyle name="la22 7 3 3 3 3 2" xfId="10033"/>
    <cellStyle name="la22 7 3 3 3 4" xfId="10034"/>
    <cellStyle name="la22 7 3 3 3 4 2" xfId="10035"/>
    <cellStyle name="la22 7 3 3 3 5" xfId="10036"/>
    <cellStyle name="la22 7 3 3 3 5 2" xfId="10037"/>
    <cellStyle name="la22 7 3 3 3 6" xfId="10038"/>
    <cellStyle name="la22 7 3 3 4" xfId="10039"/>
    <cellStyle name="la22 7 3 3 4 2" xfId="10040"/>
    <cellStyle name="la22 7 3 3 5" xfId="10041"/>
    <cellStyle name="la22 7 3 3 5 2" xfId="10042"/>
    <cellStyle name="la22 7 3 3 6" xfId="10043"/>
    <cellStyle name="la22 7 3 3 6 2" xfId="10044"/>
    <cellStyle name="la22 7 3 3 7" xfId="10045"/>
    <cellStyle name="la22 7 3 3 7 2" xfId="10046"/>
    <cellStyle name="la22 7 3 3 8" xfId="10047"/>
    <cellStyle name="la22 7 3 4" xfId="10048"/>
    <cellStyle name="la22 7 3 4 2" xfId="10049"/>
    <cellStyle name="la22 7 3 4 2 2" xfId="10050"/>
    <cellStyle name="la22 7 3 4 3" xfId="10051"/>
    <cellStyle name="la22 7 3 4 3 2" xfId="10052"/>
    <cellStyle name="la22 7 3 4 4" xfId="10053"/>
    <cellStyle name="la22 7 3 4 4 2" xfId="10054"/>
    <cellStyle name="la22 7 3 4 5" xfId="10055"/>
    <cellStyle name="la22 7 3 4 5 2" xfId="10056"/>
    <cellStyle name="la22 7 3 4 6" xfId="10057"/>
    <cellStyle name="la22 7 3 5" xfId="10058"/>
    <cellStyle name="la22 7 3 5 2" xfId="10059"/>
    <cellStyle name="la22 7 3 5 2 2" xfId="10060"/>
    <cellStyle name="la22 7 3 5 3" xfId="10061"/>
    <cellStyle name="la22 7 3 5 3 2" xfId="10062"/>
    <cellStyle name="la22 7 3 5 4" xfId="10063"/>
    <cellStyle name="la22 7 3 5 4 2" xfId="10064"/>
    <cellStyle name="la22 7 3 5 5" xfId="10065"/>
    <cellStyle name="la22 7 3 5 5 2" xfId="10066"/>
    <cellStyle name="la22 7 3 5 6" xfId="10067"/>
    <cellStyle name="la22 7 3 6" xfId="10068"/>
    <cellStyle name="la22 7 3 6 2" xfId="10069"/>
    <cellStyle name="la22 7 3 7" xfId="10070"/>
    <cellStyle name="la22 7 3 7 2" xfId="10071"/>
    <cellStyle name="la22 7 3 8" xfId="10072"/>
    <cellStyle name="la22 7 3 8 2" xfId="10073"/>
    <cellStyle name="la22 7 3 9" xfId="10074"/>
    <cellStyle name="la22 7 3 9 2" xfId="10075"/>
    <cellStyle name="la22 7 4" xfId="2249"/>
    <cellStyle name="la22 7 4 10" xfId="10076"/>
    <cellStyle name="la22 7 4 2" xfId="2250"/>
    <cellStyle name="la22 7 4 2 2" xfId="10077"/>
    <cellStyle name="la22 7 4 2 2 2" xfId="10078"/>
    <cellStyle name="la22 7 4 2 2 2 2" xfId="10079"/>
    <cellStyle name="la22 7 4 2 2 2 2 2" xfId="10080"/>
    <cellStyle name="la22 7 4 2 2 2 3" xfId="10081"/>
    <cellStyle name="la22 7 4 2 2 2 3 2" xfId="10082"/>
    <cellStyle name="la22 7 4 2 2 2 4" xfId="10083"/>
    <cellStyle name="la22 7 4 2 2 2 4 2" xfId="10084"/>
    <cellStyle name="la22 7 4 2 2 2 5" xfId="10085"/>
    <cellStyle name="la22 7 4 2 2 2 5 2" xfId="10086"/>
    <cellStyle name="la22 7 4 2 2 2 6" xfId="10087"/>
    <cellStyle name="la22 7 4 2 2 3" xfId="10088"/>
    <cellStyle name="la22 7 4 2 2 3 2" xfId="10089"/>
    <cellStyle name="la22 7 4 2 2 3 2 2" xfId="10090"/>
    <cellStyle name="la22 7 4 2 2 3 3" xfId="10091"/>
    <cellStyle name="la22 7 4 2 2 3 3 2" xfId="10092"/>
    <cellStyle name="la22 7 4 2 2 3 4" xfId="10093"/>
    <cellStyle name="la22 7 4 2 2 3 4 2" xfId="10094"/>
    <cellStyle name="la22 7 4 2 2 3 5" xfId="10095"/>
    <cellStyle name="la22 7 4 2 2 3 5 2" xfId="10096"/>
    <cellStyle name="la22 7 4 2 2 3 6" xfId="10097"/>
    <cellStyle name="la22 7 4 2 2 4" xfId="10098"/>
    <cellStyle name="la22 7 4 2 2 4 2" xfId="10099"/>
    <cellStyle name="la22 7 4 2 2 5" xfId="10100"/>
    <cellStyle name="la22 7 4 2 2 5 2" xfId="10101"/>
    <cellStyle name="la22 7 4 2 2 6" xfId="10102"/>
    <cellStyle name="la22 7 4 2 2 6 2" xfId="10103"/>
    <cellStyle name="la22 7 4 2 2 7" xfId="10104"/>
    <cellStyle name="la22 7 4 2 2 7 2" xfId="10105"/>
    <cellStyle name="la22 7 4 2 2 8" xfId="10106"/>
    <cellStyle name="la22 7 4 2 3" xfId="10107"/>
    <cellStyle name="la22 7 4 2 3 2" xfId="10108"/>
    <cellStyle name="la22 7 4 2 3 2 2" xfId="10109"/>
    <cellStyle name="la22 7 4 2 3 3" xfId="10110"/>
    <cellStyle name="la22 7 4 2 3 3 2" xfId="10111"/>
    <cellStyle name="la22 7 4 2 3 4" xfId="10112"/>
    <cellStyle name="la22 7 4 2 3 4 2" xfId="10113"/>
    <cellStyle name="la22 7 4 2 3 5" xfId="10114"/>
    <cellStyle name="la22 7 4 2 3 5 2" xfId="10115"/>
    <cellStyle name="la22 7 4 2 3 6" xfId="10116"/>
    <cellStyle name="la22 7 4 2 4" xfId="10117"/>
    <cellStyle name="la22 7 4 2 4 2" xfId="10118"/>
    <cellStyle name="la22 7 4 2 4 2 2" xfId="10119"/>
    <cellStyle name="la22 7 4 2 4 3" xfId="10120"/>
    <cellStyle name="la22 7 4 2 4 3 2" xfId="10121"/>
    <cellStyle name="la22 7 4 2 4 4" xfId="10122"/>
    <cellStyle name="la22 7 4 2 4 4 2" xfId="10123"/>
    <cellStyle name="la22 7 4 2 4 5" xfId="10124"/>
    <cellStyle name="la22 7 4 2 4 5 2" xfId="10125"/>
    <cellStyle name="la22 7 4 2 4 6" xfId="10126"/>
    <cellStyle name="la22 7 4 2 5" xfId="10127"/>
    <cellStyle name="la22 7 4 2 5 2" xfId="10128"/>
    <cellStyle name="la22 7 4 2 6" xfId="10129"/>
    <cellStyle name="la22 7 4 2 6 2" xfId="10130"/>
    <cellStyle name="la22 7 4 2 7" xfId="10131"/>
    <cellStyle name="la22 7 4 2 7 2" xfId="10132"/>
    <cellStyle name="la22 7 4 2 8" xfId="10133"/>
    <cellStyle name="la22 7 4 2 8 2" xfId="10134"/>
    <cellStyle name="la22 7 4 2 9" xfId="10135"/>
    <cellStyle name="la22 7 4 3" xfId="10136"/>
    <cellStyle name="la22 7 4 3 2" xfId="10137"/>
    <cellStyle name="la22 7 4 3 2 2" xfId="10138"/>
    <cellStyle name="la22 7 4 3 2 2 2" xfId="10139"/>
    <cellStyle name="la22 7 4 3 2 3" xfId="10140"/>
    <cellStyle name="la22 7 4 3 2 3 2" xfId="10141"/>
    <cellStyle name="la22 7 4 3 2 4" xfId="10142"/>
    <cellStyle name="la22 7 4 3 2 4 2" xfId="10143"/>
    <cellStyle name="la22 7 4 3 2 5" xfId="10144"/>
    <cellStyle name="la22 7 4 3 2 5 2" xfId="10145"/>
    <cellStyle name="la22 7 4 3 2 6" xfId="10146"/>
    <cellStyle name="la22 7 4 3 3" xfId="10147"/>
    <cellStyle name="la22 7 4 3 3 2" xfId="10148"/>
    <cellStyle name="la22 7 4 3 3 2 2" xfId="10149"/>
    <cellStyle name="la22 7 4 3 3 3" xfId="10150"/>
    <cellStyle name="la22 7 4 3 3 3 2" xfId="10151"/>
    <cellStyle name="la22 7 4 3 3 4" xfId="10152"/>
    <cellStyle name="la22 7 4 3 3 4 2" xfId="10153"/>
    <cellStyle name="la22 7 4 3 3 5" xfId="10154"/>
    <cellStyle name="la22 7 4 3 3 5 2" xfId="10155"/>
    <cellStyle name="la22 7 4 3 3 6" xfId="10156"/>
    <cellStyle name="la22 7 4 3 4" xfId="10157"/>
    <cellStyle name="la22 7 4 3 4 2" xfId="10158"/>
    <cellStyle name="la22 7 4 3 5" xfId="10159"/>
    <cellStyle name="la22 7 4 3 5 2" xfId="10160"/>
    <cellStyle name="la22 7 4 3 6" xfId="10161"/>
    <cellStyle name="la22 7 4 3 6 2" xfId="10162"/>
    <cellStyle name="la22 7 4 3 7" xfId="10163"/>
    <cellStyle name="la22 7 4 3 7 2" xfId="10164"/>
    <cellStyle name="la22 7 4 3 8" xfId="10165"/>
    <cellStyle name="la22 7 4 4" xfId="10166"/>
    <cellStyle name="la22 7 4 4 2" xfId="10167"/>
    <cellStyle name="la22 7 4 4 2 2" xfId="10168"/>
    <cellStyle name="la22 7 4 4 3" xfId="10169"/>
    <cellStyle name="la22 7 4 4 3 2" xfId="10170"/>
    <cellStyle name="la22 7 4 4 4" xfId="10171"/>
    <cellStyle name="la22 7 4 4 4 2" xfId="10172"/>
    <cellStyle name="la22 7 4 4 5" xfId="10173"/>
    <cellStyle name="la22 7 4 4 5 2" xfId="10174"/>
    <cellStyle name="la22 7 4 4 6" xfId="10175"/>
    <cellStyle name="la22 7 4 5" xfId="10176"/>
    <cellStyle name="la22 7 4 5 2" xfId="10177"/>
    <cellStyle name="la22 7 4 5 2 2" xfId="10178"/>
    <cellStyle name="la22 7 4 5 3" xfId="10179"/>
    <cellStyle name="la22 7 4 5 3 2" xfId="10180"/>
    <cellStyle name="la22 7 4 5 4" xfId="10181"/>
    <cellStyle name="la22 7 4 5 4 2" xfId="10182"/>
    <cellStyle name="la22 7 4 5 5" xfId="10183"/>
    <cellStyle name="la22 7 4 5 5 2" xfId="10184"/>
    <cellStyle name="la22 7 4 5 6" xfId="10185"/>
    <cellStyle name="la22 7 4 6" xfId="10186"/>
    <cellStyle name="la22 7 4 6 2" xfId="10187"/>
    <cellStyle name="la22 7 4 7" xfId="10188"/>
    <cellStyle name="la22 7 4 7 2" xfId="10189"/>
    <cellStyle name="la22 7 4 8" xfId="10190"/>
    <cellStyle name="la22 7 4 8 2" xfId="10191"/>
    <cellStyle name="la22 7 4 9" xfId="10192"/>
    <cellStyle name="la22 7 4 9 2" xfId="10193"/>
    <cellStyle name="la22 7 5" xfId="2251"/>
    <cellStyle name="la22 7 5 2" xfId="10194"/>
    <cellStyle name="la22 7 5 2 2" xfId="10195"/>
    <cellStyle name="la22 7 5 2 2 2" xfId="10196"/>
    <cellStyle name="la22 7 5 2 2 2 2" xfId="10197"/>
    <cellStyle name="la22 7 5 2 2 3" xfId="10198"/>
    <cellStyle name="la22 7 5 2 2 3 2" xfId="10199"/>
    <cellStyle name="la22 7 5 2 2 4" xfId="10200"/>
    <cellStyle name="la22 7 5 2 2 4 2" xfId="10201"/>
    <cellStyle name="la22 7 5 2 2 5" xfId="10202"/>
    <cellStyle name="la22 7 5 2 2 5 2" xfId="10203"/>
    <cellStyle name="la22 7 5 2 2 6" xfId="10204"/>
    <cellStyle name="la22 7 5 2 3" xfId="10205"/>
    <cellStyle name="la22 7 5 2 3 2" xfId="10206"/>
    <cellStyle name="la22 7 5 2 3 2 2" xfId="10207"/>
    <cellStyle name="la22 7 5 2 3 3" xfId="10208"/>
    <cellStyle name="la22 7 5 2 3 3 2" xfId="10209"/>
    <cellStyle name="la22 7 5 2 3 4" xfId="10210"/>
    <cellStyle name="la22 7 5 2 3 4 2" xfId="10211"/>
    <cellStyle name="la22 7 5 2 3 5" xfId="10212"/>
    <cellStyle name="la22 7 5 2 3 5 2" xfId="10213"/>
    <cellStyle name="la22 7 5 2 3 6" xfId="10214"/>
    <cellStyle name="la22 7 5 2 4" xfId="10215"/>
    <cellStyle name="la22 7 5 2 4 2" xfId="10216"/>
    <cellStyle name="la22 7 5 2 5" xfId="10217"/>
    <cellStyle name="la22 7 5 2 5 2" xfId="10218"/>
    <cellStyle name="la22 7 5 2 6" xfId="10219"/>
    <cellStyle name="la22 7 5 2 6 2" xfId="10220"/>
    <cellStyle name="la22 7 5 2 7" xfId="10221"/>
    <cellStyle name="la22 7 5 2 7 2" xfId="10222"/>
    <cellStyle name="la22 7 5 2 8" xfId="10223"/>
    <cellStyle name="la22 7 5 3" xfId="10224"/>
    <cellStyle name="la22 7 5 3 2" xfId="10225"/>
    <cellStyle name="la22 7 5 3 2 2" xfId="10226"/>
    <cellStyle name="la22 7 5 3 3" xfId="10227"/>
    <cellStyle name="la22 7 5 3 3 2" xfId="10228"/>
    <cellStyle name="la22 7 5 3 4" xfId="10229"/>
    <cellStyle name="la22 7 5 3 4 2" xfId="10230"/>
    <cellStyle name="la22 7 5 3 5" xfId="10231"/>
    <cellStyle name="la22 7 5 3 5 2" xfId="10232"/>
    <cellStyle name="la22 7 5 3 6" xfId="10233"/>
    <cellStyle name="la22 7 5 4" xfId="10234"/>
    <cellStyle name="la22 7 5 4 2" xfId="10235"/>
    <cellStyle name="la22 7 5 4 2 2" xfId="10236"/>
    <cellStyle name="la22 7 5 4 3" xfId="10237"/>
    <cellStyle name="la22 7 5 4 3 2" xfId="10238"/>
    <cellStyle name="la22 7 5 4 4" xfId="10239"/>
    <cellStyle name="la22 7 5 4 4 2" xfId="10240"/>
    <cellStyle name="la22 7 5 4 5" xfId="10241"/>
    <cellStyle name="la22 7 5 4 5 2" xfId="10242"/>
    <cellStyle name="la22 7 5 4 6" xfId="10243"/>
    <cellStyle name="la22 7 5 5" xfId="10244"/>
    <cellStyle name="la22 7 5 5 2" xfId="10245"/>
    <cellStyle name="la22 7 5 6" xfId="10246"/>
    <cellStyle name="la22 7 5 6 2" xfId="10247"/>
    <cellStyle name="la22 7 5 7" xfId="10248"/>
    <cellStyle name="la22 7 5 7 2" xfId="10249"/>
    <cellStyle name="la22 7 5 8" xfId="10250"/>
    <cellStyle name="la22 7 5 8 2" xfId="10251"/>
    <cellStyle name="la22 7 5 9" xfId="10252"/>
    <cellStyle name="la22 7 6" xfId="10253"/>
    <cellStyle name="la22 7 6 2" xfId="10254"/>
    <cellStyle name="la22 7 6 2 2" xfId="10255"/>
    <cellStyle name="la22 7 6 2 2 2" xfId="10256"/>
    <cellStyle name="la22 7 6 2 3" xfId="10257"/>
    <cellStyle name="la22 7 6 2 3 2" xfId="10258"/>
    <cellStyle name="la22 7 6 2 4" xfId="10259"/>
    <cellStyle name="la22 7 6 2 4 2" xfId="10260"/>
    <cellStyle name="la22 7 6 2 5" xfId="10261"/>
    <cellStyle name="la22 7 6 2 5 2" xfId="10262"/>
    <cellStyle name="la22 7 6 2 6" xfId="10263"/>
    <cellStyle name="la22 7 6 3" xfId="10264"/>
    <cellStyle name="la22 7 6 3 2" xfId="10265"/>
    <cellStyle name="la22 7 6 3 2 2" xfId="10266"/>
    <cellStyle name="la22 7 6 3 3" xfId="10267"/>
    <cellStyle name="la22 7 6 3 3 2" xfId="10268"/>
    <cellStyle name="la22 7 6 3 4" xfId="10269"/>
    <cellStyle name="la22 7 6 3 4 2" xfId="10270"/>
    <cellStyle name="la22 7 6 3 5" xfId="10271"/>
    <cellStyle name="la22 7 6 3 5 2" xfId="10272"/>
    <cellStyle name="la22 7 6 3 6" xfId="10273"/>
    <cellStyle name="la22 7 6 4" xfId="10274"/>
    <cellStyle name="la22 7 6 4 2" xfId="10275"/>
    <cellStyle name="la22 7 6 5" xfId="10276"/>
    <cellStyle name="la22 7 6 5 2" xfId="10277"/>
    <cellStyle name="la22 7 6 6" xfId="10278"/>
    <cellStyle name="la22 7 6 6 2" xfId="10279"/>
    <cellStyle name="la22 7 6 7" xfId="10280"/>
    <cellStyle name="la22 7 6 7 2" xfId="10281"/>
    <cellStyle name="la22 7 6 8" xfId="10282"/>
    <cellStyle name="la22 7 7" xfId="10283"/>
    <cellStyle name="la22 7 7 2" xfId="10284"/>
    <cellStyle name="la22 7 7 2 2" xfId="10285"/>
    <cellStyle name="la22 7 7 3" xfId="10286"/>
    <cellStyle name="la22 7 7 3 2" xfId="10287"/>
    <cellStyle name="la22 7 7 4" xfId="10288"/>
    <cellStyle name="la22 7 7 4 2" xfId="10289"/>
    <cellStyle name="la22 7 7 5" xfId="10290"/>
    <cellStyle name="la22 7 7 5 2" xfId="10291"/>
    <cellStyle name="la22 7 7 6" xfId="10292"/>
    <cellStyle name="la22 7 8" xfId="10293"/>
    <cellStyle name="la22 7 8 2" xfId="10294"/>
    <cellStyle name="la22 7 8 2 2" xfId="10295"/>
    <cellStyle name="la22 7 8 3" xfId="10296"/>
    <cellStyle name="la22 7 8 3 2" xfId="10297"/>
    <cellStyle name="la22 7 8 4" xfId="10298"/>
    <cellStyle name="la22 7 8 4 2" xfId="10299"/>
    <cellStyle name="la22 7 8 5" xfId="10300"/>
    <cellStyle name="la22 7 8 5 2" xfId="10301"/>
    <cellStyle name="la22 7 8 6" xfId="10302"/>
    <cellStyle name="la22 7 9" xfId="10303"/>
    <cellStyle name="la22 7 9 2" xfId="10304"/>
    <cellStyle name="la22 8" xfId="702"/>
    <cellStyle name="la22 8 10" xfId="10305"/>
    <cellStyle name="la22 8 10 2" xfId="10306"/>
    <cellStyle name="la22 8 11" xfId="10307"/>
    <cellStyle name="la22 8 11 2" xfId="10308"/>
    <cellStyle name="la22 8 12" xfId="10309"/>
    <cellStyle name="la22 8 12 2" xfId="10310"/>
    <cellStyle name="la22 8 13" xfId="10311"/>
    <cellStyle name="la22 8 2" xfId="2252"/>
    <cellStyle name="la22 8 2 10" xfId="10312"/>
    <cellStyle name="la22 8 2 2" xfId="2253"/>
    <cellStyle name="la22 8 2 2 2" xfId="10313"/>
    <cellStyle name="la22 8 2 2 2 2" xfId="10314"/>
    <cellStyle name="la22 8 2 2 2 2 2" xfId="10315"/>
    <cellStyle name="la22 8 2 2 2 2 2 2" xfId="10316"/>
    <cellStyle name="la22 8 2 2 2 2 3" xfId="10317"/>
    <cellStyle name="la22 8 2 2 2 2 3 2" xfId="10318"/>
    <cellStyle name="la22 8 2 2 2 2 4" xfId="10319"/>
    <cellStyle name="la22 8 2 2 2 2 4 2" xfId="10320"/>
    <cellStyle name="la22 8 2 2 2 2 5" xfId="10321"/>
    <cellStyle name="la22 8 2 2 2 2 5 2" xfId="10322"/>
    <cellStyle name="la22 8 2 2 2 2 6" xfId="10323"/>
    <cellStyle name="la22 8 2 2 2 3" xfId="10324"/>
    <cellStyle name="la22 8 2 2 2 3 2" xfId="10325"/>
    <cellStyle name="la22 8 2 2 2 3 2 2" xfId="10326"/>
    <cellStyle name="la22 8 2 2 2 3 3" xfId="10327"/>
    <cellStyle name="la22 8 2 2 2 3 3 2" xfId="10328"/>
    <cellStyle name="la22 8 2 2 2 3 4" xfId="10329"/>
    <cellStyle name="la22 8 2 2 2 3 4 2" xfId="10330"/>
    <cellStyle name="la22 8 2 2 2 3 5" xfId="10331"/>
    <cellStyle name="la22 8 2 2 2 3 5 2" xfId="10332"/>
    <cellStyle name="la22 8 2 2 2 3 6" xfId="10333"/>
    <cellStyle name="la22 8 2 2 2 4" xfId="10334"/>
    <cellStyle name="la22 8 2 2 2 4 2" xfId="10335"/>
    <cellStyle name="la22 8 2 2 2 5" xfId="10336"/>
    <cellStyle name="la22 8 2 2 2 5 2" xfId="10337"/>
    <cellStyle name="la22 8 2 2 2 6" xfId="10338"/>
    <cellStyle name="la22 8 2 2 2 6 2" xfId="10339"/>
    <cellStyle name="la22 8 2 2 2 7" xfId="10340"/>
    <cellStyle name="la22 8 2 2 2 7 2" xfId="10341"/>
    <cellStyle name="la22 8 2 2 2 8" xfId="10342"/>
    <cellStyle name="la22 8 2 2 3" xfId="10343"/>
    <cellStyle name="la22 8 2 2 3 2" xfId="10344"/>
    <cellStyle name="la22 8 2 2 3 2 2" xfId="10345"/>
    <cellStyle name="la22 8 2 2 3 3" xfId="10346"/>
    <cellStyle name="la22 8 2 2 3 3 2" xfId="10347"/>
    <cellStyle name="la22 8 2 2 3 4" xfId="10348"/>
    <cellStyle name="la22 8 2 2 3 4 2" xfId="10349"/>
    <cellStyle name="la22 8 2 2 3 5" xfId="10350"/>
    <cellStyle name="la22 8 2 2 3 5 2" xfId="10351"/>
    <cellStyle name="la22 8 2 2 3 6" xfId="10352"/>
    <cellStyle name="la22 8 2 2 4" xfId="10353"/>
    <cellStyle name="la22 8 2 2 4 2" xfId="10354"/>
    <cellStyle name="la22 8 2 2 4 2 2" xfId="10355"/>
    <cellStyle name="la22 8 2 2 4 3" xfId="10356"/>
    <cellStyle name="la22 8 2 2 4 3 2" xfId="10357"/>
    <cellStyle name="la22 8 2 2 4 4" xfId="10358"/>
    <cellStyle name="la22 8 2 2 4 4 2" xfId="10359"/>
    <cellStyle name="la22 8 2 2 4 5" xfId="10360"/>
    <cellStyle name="la22 8 2 2 4 5 2" xfId="10361"/>
    <cellStyle name="la22 8 2 2 4 6" xfId="10362"/>
    <cellStyle name="la22 8 2 2 5" xfId="10363"/>
    <cellStyle name="la22 8 2 2 5 2" xfId="10364"/>
    <cellStyle name="la22 8 2 2 6" xfId="10365"/>
    <cellStyle name="la22 8 2 2 6 2" xfId="10366"/>
    <cellStyle name="la22 8 2 2 7" xfId="10367"/>
    <cellStyle name="la22 8 2 2 7 2" xfId="10368"/>
    <cellStyle name="la22 8 2 2 8" xfId="10369"/>
    <cellStyle name="la22 8 2 2 8 2" xfId="10370"/>
    <cellStyle name="la22 8 2 2 9" xfId="10371"/>
    <cellStyle name="la22 8 2 3" xfId="10372"/>
    <cellStyle name="la22 8 2 3 2" xfId="10373"/>
    <cellStyle name="la22 8 2 3 2 2" xfId="10374"/>
    <cellStyle name="la22 8 2 3 2 2 2" xfId="10375"/>
    <cellStyle name="la22 8 2 3 2 3" xfId="10376"/>
    <cellStyle name="la22 8 2 3 2 3 2" xfId="10377"/>
    <cellStyle name="la22 8 2 3 2 4" xfId="10378"/>
    <cellStyle name="la22 8 2 3 2 4 2" xfId="10379"/>
    <cellStyle name="la22 8 2 3 2 5" xfId="10380"/>
    <cellStyle name="la22 8 2 3 2 5 2" xfId="10381"/>
    <cellStyle name="la22 8 2 3 2 6" xfId="10382"/>
    <cellStyle name="la22 8 2 3 3" xfId="10383"/>
    <cellStyle name="la22 8 2 3 3 2" xfId="10384"/>
    <cellStyle name="la22 8 2 3 3 2 2" xfId="10385"/>
    <cellStyle name="la22 8 2 3 3 3" xfId="10386"/>
    <cellStyle name="la22 8 2 3 3 3 2" xfId="10387"/>
    <cellStyle name="la22 8 2 3 3 4" xfId="10388"/>
    <cellStyle name="la22 8 2 3 3 4 2" xfId="10389"/>
    <cellStyle name="la22 8 2 3 3 5" xfId="10390"/>
    <cellStyle name="la22 8 2 3 3 5 2" xfId="10391"/>
    <cellStyle name="la22 8 2 3 3 6" xfId="10392"/>
    <cellStyle name="la22 8 2 3 4" xfId="10393"/>
    <cellStyle name="la22 8 2 3 4 2" xfId="10394"/>
    <cellStyle name="la22 8 2 3 5" xfId="10395"/>
    <cellStyle name="la22 8 2 3 5 2" xfId="10396"/>
    <cellStyle name="la22 8 2 3 6" xfId="10397"/>
    <cellStyle name="la22 8 2 3 6 2" xfId="10398"/>
    <cellStyle name="la22 8 2 3 7" xfId="10399"/>
    <cellStyle name="la22 8 2 3 7 2" xfId="10400"/>
    <cellStyle name="la22 8 2 3 8" xfId="10401"/>
    <cellStyle name="la22 8 2 4" xfId="10402"/>
    <cellStyle name="la22 8 2 4 2" xfId="10403"/>
    <cellStyle name="la22 8 2 4 2 2" xfId="10404"/>
    <cellStyle name="la22 8 2 4 3" xfId="10405"/>
    <cellStyle name="la22 8 2 4 3 2" xfId="10406"/>
    <cellStyle name="la22 8 2 4 4" xfId="10407"/>
    <cellStyle name="la22 8 2 4 4 2" xfId="10408"/>
    <cellStyle name="la22 8 2 4 5" xfId="10409"/>
    <cellStyle name="la22 8 2 4 5 2" xfId="10410"/>
    <cellStyle name="la22 8 2 4 6" xfId="10411"/>
    <cellStyle name="la22 8 2 5" xfId="10412"/>
    <cellStyle name="la22 8 2 5 2" xfId="10413"/>
    <cellStyle name="la22 8 2 5 2 2" xfId="10414"/>
    <cellStyle name="la22 8 2 5 3" xfId="10415"/>
    <cellStyle name="la22 8 2 5 3 2" xfId="10416"/>
    <cellStyle name="la22 8 2 5 4" xfId="10417"/>
    <cellStyle name="la22 8 2 5 4 2" xfId="10418"/>
    <cellStyle name="la22 8 2 5 5" xfId="10419"/>
    <cellStyle name="la22 8 2 5 5 2" xfId="10420"/>
    <cellStyle name="la22 8 2 5 6" xfId="10421"/>
    <cellStyle name="la22 8 2 6" xfId="10422"/>
    <cellStyle name="la22 8 2 6 2" xfId="10423"/>
    <cellStyle name="la22 8 2 7" xfId="10424"/>
    <cellStyle name="la22 8 2 7 2" xfId="10425"/>
    <cellStyle name="la22 8 2 8" xfId="10426"/>
    <cellStyle name="la22 8 2 8 2" xfId="10427"/>
    <cellStyle name="la22 8 2 9" xfId="10428"/>
    <cellStyle name="la22 8 2 9 2" xfId="10429"/>
    <cellStyle name="la22 8 3" xfId="2254"/>
    <cellStyle name="la22 8 3 10" xfId="10430"/>
    <cellStyle name="la22 8 3 2" xfId="2255"/>
    <cellStyle name="la22 8 3 2 2" xfId="10431"/>
    <cellStyle name="la22 8 3 2 2 2" xfId="10432"/>
    <cellStyle name="la22 8 3 2 2 2 2" xfId="10433"/>
    <cellStyle name="la22 8 3 2 2 2 2 2" xfId="10434"/>
    <cellStyle name="la22 8 3 2 2 2 3" xfId="10435"/>
    <cellStyle name="la22 8 3 2 2 2 3 2" xfId="10436"/>
    <cellStyle name="la22 8 3 2 2 2 4" xfId="10437"/>
    <cellStyle name="la22 8 3 2 2 2 4 2" xfId="10438"/>
    <cellStyle name="la22 8 3 2 2 2 5" xfId="10439"/>
    <cellStyle name="la22 8 3 2 2 2 5 2" xfId="10440"/>
    <cellStyle name="la22 8 3 2 2 2 6" xfId="10441"/>
    <cellStyle name="la22 8 3 2 2 3" xfId="10442"/>
    <cellStyle name="la22 8 3 2 2 3 2" xfId="10443"/>
    <cellStyle name="la22 8 3 2 2 3 2 2" xfId="10444"/>
    <cellStyle name="la22 8 3 2 2 3 3" xfId="10445"/>
    <cellStyle name="la22 8 3 2 2 3 3 2" xfId="10446"/>
    <cellStyle name="la22 8 3 2 2 3 4" xfId="10447"/>
    <cellStyle name="la22 8 3 2 2 3 4 2" xfId="10448"/>
    <cellStyle name="la22 8 3 2 2 3 5" xfId="10449"/>
    <cellStyle name="la22 8 3 2 2 3 5 2" xfId="10450"/>
    <cellStyle name="la22 8 3 2 2 3 6" xfId="10451"/>
    <cellStyle name="la22 8 3 2 2 4" xfId="10452"/>
    <cellStyle name="la22 8 3 2 2 4 2" xfId="10453"/>
    <cellStyle name="la22 8 3 2 2 5" xfId="10454"/>
    <cellStyle name="la22 8 3 2 2 5 2" xfId="10455"/>
    <cellStyle name="la22 8 3 2 2 6" xfId="10456"/>
    <cellStyle name="la22 8 3 2 2 6 2" xfId="10457"/>
    <cellStyle name="la22 8 3 2 2 7" xfId="10458"/>
    <cellStyle name="la22 8 3 2 2 7 2" xfId="10459"/>
    <cellStyle name="la22 8 3 2 2 8" xfId="10460"/>
    <cellStyle name="la22 8 3 2 3" xfId="10461"/>
    <cellStyle name="la22 8 3 2 3 2" xfId="10462"/>
    <cellStyle name="la22 8 3 2 3 2 2" xfId="10463"/>
    <cellStyle name="la22 8 3 2 3 3" xfId="10464"/>
    <cellStyle name="la22 8 3 2 3 3 2" xfId="10465"/>
    <cellStyle name="la22 8 3 2 3 4" xfId="10466"/>
    <cellStyle name="la22 8 3 2 3 4 2" xfId="10467"/>
    <cellStyle name="la22 8 3 2 3 5" xfId="10468"/>
    <cellStyle name="la22 8 3 2 3 5 2" xfId="10469"/>
    <cellStyle name="la22 8 3 2 3 6" xfId="10470"/>
    <cellStyle name="la22 8 3 2 4" xfId="10471"/>
    <cellStyle name="la22 8 3 2 4 2" xfId="10472"/>
    <cellStyle name="la22 8 3 2 4 2 2" xfId="10473"/>
    <cellStyle name="la22 8 3 2 4 3" xfId="10474"/>
    <cellStyle name="la22 8 3 2 4 3 2" xfId="10475"/>
    <cellStyle name="la22 8 3 2 4 4" xfId="10476"/>
    <cellStyle name="la22 8 3 2 4 4 2" xfId="10477"/>
    <cellStyle name="la22 8 3 2 4 5" xfId="10478"/>
    <cellStyle name="la22 8 3 2 4 5 2" xfId="10479"/>
    <cellStyle name="la22 8 3 2 4 6" xfId="10480"/>
    <cellStyle name="la22 8 3 2 5" xfId="10481"/>
    <cellStyle name="la22 8 3 2 5 2" xfId="10482"/>
    <cellStyle name="la22 8 3 2 6" xfId="10483"/>
    <cellStyle name="la22 8 3 2 6 2" xfId="10484"/>
    <cellStyle name="la22 8 3 2 7" xfId="10485"/>
    <cellStyle name="la22 8 3 2 7 2" xfId="10486"/>
    <cellStyle name="la22 8 3 2 8" xfId="10487"/>
    <cellStyle name="la22 8 3 2 8 2" xfId="10488"/>
    <cellStyle name="la22 8 3 2 9" xfId="10489"/>
    <cellStyle name="la22 8 3 3" xfId="10490"/>
    <cellStyle name="la22 8 3 3 2" xfId="10491"/>
    <cellStyle name="la22 8 3 3 2 2" xfId="10492"/>
    <cellStyle name="la22 8 3 3 2 2 2" xfId="10493"/>
    <cellStyle name="la22 8 3 3 2 3" xfId="10494"/>
    <cellStyle name="la22 8 3 3 2 3 2" xfId="10495"/>
    <cellStyle name="la22 8 3 3 2 4" xfId="10496"/>
    <cellStyle name="la22 8 3 3 2 4 2" xfId="10497"/>
    <cellStyle name="la22 8 3 3 2 5" xfId="10498"/>
    <cellStyle name="la22 8 3 3 2 5 2" xfId="10499"/>
    <cellStyle name="la22 8 3 3 2 6" xfId="10500"/>
    <cellStyle name="la22 8 3 3 3" xfId="10501"/>
    <cellStyle name="la22 8 3 3 3 2" xfId="10502"/>
    <cellStyle name="la22 8 3 3 3 2 2" xfId="10503"/>
    <cellStyle name="la22 8 3 3 3 3" xfId="10504"/>
    <cellStyle name="la22 8 3 3 3 3 2" xfId="10505"/>
    <cellStyle name="la22 8 3 3 3 4" xfId="10506"/>
    <cellStyle name="la22 8 3 3 3 4 2" xfId="10507"/>
    <cellStyle name="la22 8 3 3 3 5" xfId="10508"/>
    <cellStyle name="la22 8 3 3 3 5 2" xfId="10509"/>
    <cellStyle name="la22 8 3 3 3 6" xfId="10510"/>
    <cellStyle name="la22 8 3 3 4" xfId="10511"/>
    <cellStyle name="la22 8 3 3 4 2" xfId="10512"/>
    <cellStyle name="la22 8 3 3 5" xfId="10513"/>
    <cellStyle name="la22 8 3 3 5 2" xfId="10514"/>
    <cellStyle name="la22 8 3 3 6" xfId="10515"/>
    <cellStyle name="la22 8 3 3 6 2" xfId="10516"/>
    <cellStyle name="la22 8 3 3 7" xfId="10517"/>
    <cellStyle name="la22 8 3 3 7 2" xfId="10518"/>
    <cellStyle name="la22 8 3 3 8" xfId="10519"/>
    <cellStyle name="la22 8 3 4" xfId="10520"/>
    <cellStyle name="la22 8 3 4 2" xfId="10521"/>
    <cellStyle name="la22 8 3 4 2 2" xfId="10522"/>
    <cellStyle name="la22 8 3 4 3" xfId="10523"/>
    <cellStyle name="la22 8 3 4 3 2" xfId="10524"/>
    <cellStyle name="la22 8 3 4 4" xfId="10525"/>
    <cellStyle name="la22 8 3 4 4 2" xfId="10526"/>
    <cellStyle name="la22 8 3 4 5" xfId="10527"/>
    <cellStyle name="la22 8 3 4 5 2" xfId="10528"/>
    <cellStyle name="la22 8 3 4 6" xfId="10529"/>
    <cellStyle name="la22 8 3 5" xfId="10530"/>
    <cellStyle name="la22 8 3 5 2" xfId="10531"/>
    <cellStyle name="la22 8 3 5 2 2" xfId="10532"/>
    <cellStyle name="la22 8 3 5 3" xfId="10533"/>
    <cellStyle name="la22 8 3 5 3 2" xfId="10534"/>
    <cellStyle name="la22 8 3 5 4" xfId="10535"/>
    <cellStyle name="la22 8 3 5 4 2" xfId="10536"/>
    <cellStyle name="la22 8 3 5 5" xfId="10537"/>
    <cellStyle name="la22 8 3 5 5 2" xfId="10538"/>
    <cellStyle name="la22 8 3 5 6" xfId="10539"/>
    <cellStyle name="la22 8 3 6" xfId="10540"/>
    <cellStyle name="la22 8 3 6 2" xfId="10541"/>
    <cellStyle name="la22 8 3 7" xfId="10542"/>
    <cellStyle name="la22 8 3 7 2" xfId="10543"/>
    <cellStyle name="la22 8 3 8" xfId="10544"/>
    <cellStyle name="la22 8 3 8 2" xfId="10545"/>
    <cellStyle name="la22 8 3 9" xfId="10546"/>
    <cellStyle name="la22 8 3 9 2" xfId="10547"/>
    <cellStyle name="la22 8 4" xfId="2256"/>
    <cellStyle name="la22 8 4 10" xfId="10548"/>
    <cellStyle name="la22 8 4 2" xfId="2257"/>
    <cellStyle name="la22 8 4 2 2" xfId="10549"/>
    <cellStyle name="la22 8 4 2 2 2" xfId="10550"/>
    <cellStyle name="la22 8 4 2 2 2 2" xfId="10551"/>
    <cellStyle name="la22 8 4 2 2 2 2 2" xfId="10552"/>
    <cellStyle name="la22 8 4 2 2 2 3" xfId="10553"/>
    <cellStyle name="la22 8 4 2 2 2 3 2" xfId="10554"/>
    <cellStyle name="la22 8 4 2 2 2 4" xfId="10555"/>
    <cellStyle name="la22 8 4 2 2 2 4 2" xfId="10556"/>
    <cellStyle name="la22 8 4 2 2 2 5" xfId="10557"/>
    <cellStyle name="la22 8 4 2 2 2 5 2" xfId="10558"/>
    <cellStyle name="la22 8 4 2 2 2 6" xfId="10559"/>
    <cellStyle name="la22 8 4 2 2 3" xfId="10560"/>
    <cellStyle name="la22 8 4 2 2 3 2" xfId="10561"/>
    <cellStyle name="la22 8 4 2 2 3 2 2" xfId="10562"/>
    <cellStyle name="la22 8 4 2 2 3 3" xfId="10563"/>
    <cellStyle name="la22 8 4 2 2 3 3 2" xfId="10564"/>
    <cellStyle name="la22 8 4 2 2 3 4" xfId="10565"/>
    <cellStyle name="la22 8 4 2 2 3 4 2" xfId="10566"/>
    <cellStyle name="la22 8 4 2 2 3 5" xfId="10567"/>
    <cellStyle name="la22 8 4 2 2 3 5 2" xfId="10568"/>
    <cellStyle name="la22 8 4 2 2 3 6" xfId="10569"/>
    <cellStyle name="la22 8 4 2 2 4" xfId="10570"/>
    <cellStyle name="la22 8 4 2 2 4 2" xfId="10571"/>
    <cellStyle name="la22 8 4 2 2 5" xfId="10572"/>
    <cellStyle name="la22 8 4 2 2 5 2" xfId="10573"/>
    <cellStyle name="la22 8 4 2 2 6" xfId="10574"/>
    <cellStyle name="la22 8 4 2 2 6 2" xfId="10575"/>
    <cellStyle name="la22 8 4 2 2 7" xfId="10576"/>
    <cellStyle name="la22 8 4 2 2 7 2" xfId="10577"/>
    <cellStyle name="la22 8 4 2 2 8" xfId="10578"/>
    <cellStyle name="la22 8 4 2 3" xfId="10579"/>
    <cellStyle name="la22 8 4 2 3 2" xfId="10580"/>
    <cellStyle name="la22 8 4 2 3 2 2" xfId="10581"/>
    <cellStyle name="la22 8 4 2 3 3" xfId="10582"/>
    <cellStyle name="la22 8 4 2 3 3 2" xfId="10583"/>
    <cellStyle name="la22 8 4 2 3 4" xfId="10584"/>
    <cellStyle name="la22 8 4 2 3 4 2" xfId="10585"/>
    <cellStyle name="la22 8 4 2 3 5" xfId="10586"/>
    <cellStyle name="la22 8 4 2 3 5 2" xfId="10587"/>
    <cellStyle name="la22 8 4 2 3 6" xfId="10588"/>
    <cellStyle name="la22 8 4 2 4" xfId="10589"/>
    <cellStyle name="la22 8 4 2 4 2" xfId="10590"/>
    <cellStyle name="la22 8 4 2 4 2 2" xfId="10591"/>
    <cellStyle name="la22 8 4 2 4 3" xfId="10592"/>
    <cellStyle name="la22 8 4 2 4 3 2" xfId="10593"/>
    <cellStyle name="la22 8 4 2 4 4" xfId="10594"/>
    <cellStyle name="la22 8 4 2 4 4 2" xfId="10595"/>
    <cellStyle name="la22 8 4 2 4 5" xfId="10596"/>
    <cellStyle name="la22 8 4 2 4 5 2" xfId="10597"/>
    <cellStyle name="la22 8 4 2 4 6" xfId="10598"/>
    <cellStyle name="la22 8 4 2 5" xfId="10599"/>
    <cellStyle name="la22 8 4 2 5 2" xfId="10600"/>
    <cellStyle name="la22 8 4 2 6" xfId="10601"/>
    <cellStyle name="la22 8 4 2 6 2" xfId="10602"/>
    <cellStyle name="la22 8 4 2 7" xfId="10603"/>
    <cellStyle name="la22 8 4 2 7 2" xfId="10604"/>
    <cellStyle name="la22 8 4 2 8" xfId="10605"/>
    <cellStyle name="la22 8 4 2 8 2" xfId="10606"/>
    <cellStyle name="la22 8 4 2 9" xfId="10607"/>
    <cellStyle name="la22 8 4 3" xfId="10608"/>
    <cellStyle name="la22 8 4 3 2" xfId="10609"/>
    <cellStyle name="la22 8 4 3 2 2" xfId="10610"/>
    <cellStyle name="la22 8 4 3 2 2 2" xfId="10611"/>
    <cellStyle name="la22 8 4 3 2 3" xfId="10612"/>
    <cellStyle name="la22 8 4 3 2 3 2" xfId="10613"/>
    <cellStyle name="la22 8 4 3 2 4" xfId="10614"/>
    <cellStyle name="la22 8 4 3 2 4 2" xfId="10615"/>
    <cellStyle name="la22 8 4 3 2 5" xfId="10616"/>
    <cellStyle name="la22 8 4 3 2 5 2" xfId="10617"/>
    <cellStyle name="la22 8 4 3 2 6" xfId="10618"/>
    <cellStyle name="la22 8 4 3 3" xfId="10619"/>
    <cellStyle name="la22 8 4 3 3 2" xfId="10620"/>
    <cellStyle name="la22 8 4 3 3 2 2" xfId="10621"/>
    <cellStyle name="la22 8 4 3 3 3" xfId="10622"/>
    <cellStyle name="la22 8 4 3 3 3 2" xfId="10623"/>
    <cellStyle name="la22 8 4 3 3 4" xfId="10624"/>
    <cellStyle name="la22 8 4 3 3 4 2" xfId="10625"/>
    <cellStyle name="la22 8 4 3 3 5" xfId="10626"/>
    <cellStyle name="la22 8 4 3 3 5 2" xfId="10627"/>
    <cellStyle name="la22 8 4 3 3 6" xfId="10628"/>
    <cellStyle name="la22 8 4 3 4" xfId="10629"/>
    <cellStyle name="la22 8 4 3 4 2" xfId="10630"/>
    <cellStyle name="la22 8 4 3 5" xfId="10631"/>
    <cellStyle name="la22 8 4 3 5 2" xfId="10632"/>
    <cellStyle name="la22 8 4 3 6" xfId="10633"/>
    <cellStyle name="la22 8 4 3 6 2" xfId="10634"/>
    <cellStyle name="la22 8 4 3 7" xfId="10635"/>
    <cellStyle name="la22 8 4 3 7 2" xfId="10636"/>
    <cellStyle name="la22 8 4 3 8" xfId="10637"/>
    <cellStyle name="la22 8 4 4" xfId="10638"/>
    <cellStyle name="la22 8 4 4 2" xfId="10639"/>
    <cellStyle name="la22 8 4 4 2 2" xfId="10640"/>
    <cellStyle name="la22 8 4 4 3" xfId="10641"/>
    <cellStyle name="la22 8 4 4 3 2" xfId="10642"/>
    <cellStyle name="la22 8 4 4 4" xfId="10643"/>
    <cellStyle name="la22 8 4 4 4 2" xfId="10644"/>
    <cellStyle name="la22 8 4 4 5" xfId="10645"/>
    <cellStyle name="la22 8 4 4 5 2" xfId="10646"/>
    <cellStyle name="la22 8 4 4 6" xfId="10647"/>
    <cellStyle name="la22 8 4 5" xfId="10648"/>
    <cellStyle name="la22 8 4 5 2" xfId="10649"/>
    <cellStyle name="la22 8 4 5 2 2" xfId="10650"/>
    <cellStyle name="la22 8 4 5 3" xfId="10651"/>
    <cellStyle name="la22 8 4 5 3 2" xfId="10652"/>
    <cellStyle name="la22 8 4 5 4" xfId="10653"/>
    <cellStyle name="la22 8 4 5 4 2" xfId="10654"/>
    <cellStyle name="la22 8 4 5 5" xfId="10655"/>
    <cellStyle name="la22 8 4 5 5 2" xfId="10656"/>
    <cellStyle name="la22 8 4 5 6" xfId="10657"/>
    <cellStyle name="la22 8 4 6" xfId="10658"/>
    <cellStyle name="la22 8 4 6 2" xfId="10659"/>
    <cellStyle name="la22 8 4 7" xfId="10660"/>
    <cellStyle name="la22 8 4 7 2" xfId="10661"/>
    <cellStyle name="la22 8 4 8" xfId="10662"/>
    <cellStyle name="la22 8 4 8 2" xfId="10663"/>
    <cellStyle name="la22 8 4 9" xfId="10664"/>
    <cellStyle name="la22 8 4 9 2" xfId="10665"/>
    <cellStyle name="la22 8 5" xfId="2258"/>
    <cellStyle name="la22 8 5 2" xfId="10666"/>
    <cellStyle name="la22 8 5 2 2" xfId="10667"/>
    <cellStyle name="la22 8 5 2 2 2" xfId="10668"/>
    <cellStyle name="la22 8 5 2 2 2 2" xfId="10669"/>
    <cellStyle name="la22 8 5 2 2 3" xfId="10670"/>
    <cellStyle name="la22 8 5 2 2 3 2" xfId="10671"/>
    <cellStyle name="la22 8 5 2 2 4" xfId="10672"/>
    <cellStyle name="la22 8 5 2 2 4 2" xfId="10673"/>
    <cellStyle name="la22 8 5 2 2 5" xfId="10674"/>
    <cellStyle name="la22 8 5 2 2 5 2" xfId="10675"/>
    <cellStyle name="la22 8 5 2 2 6" xfId="10676"/>
    <cellStyle name="la22 8 5 2 3" xfId="10677"/>
    <cellStyle name="la22 8 5 2 3 2" xfId="10678"/>
    <cellStyle name="la22 8 5 2 3 2 2" xfId="10679"/>
    <cellStyle name="la22 8 5 2 3 3" xfId="10680"/>
    <cellStyle name="la22 8 5 2 3 3 2" xfId="10681"/>
    <cellStyle name="la22 8 5 2 3 4" xfId="10682"/>
    <cellStyle name="la22 8 5 2 3 4 2" xfId="10683"/>
    <cellStyle name="la22 8 5 2 3 5" xfId="10684"/>
    <cellStyle name="la22 8 5 2 3 5 2" xfId="10685"/>
    <cellStyle name="la22 8 5 2 3 6" xfId="10686"/>
    <cellStyle name="la22 8 5 2 4" xfId="10687"/>
    <cellStyle name="la22 8 5 2 4 2" xfId="10688"/>
    <cellStyle name="la22 8 5 2 5" xfId="10689"/>
    <cellStyle name="la22 8 5 2 5 2" xfId="10690"/>
    <cellStyle name="la22 8 5 2 6" xfId="10691"/>
    <cellStyle name="la22 8 5 2 6 2" xfId="10692"/>
    <cellStyle name="la22 8 5 2 7" xfId="10693"/>
    <cellStyle name="la22 8 5 2 7 2" xfId="10694"/>
    <cellStyle name="la22 8 5 2 8" xfId="10695"/>
    <cellStyle name="la22 8 5 3" xfId="10696"/>
    <cellStyle name="la22 8 5 3 2" xfId="10697"/>
    <cellStyle name="la22 8 5 3 2 2" xfId="10698"/>
    <cellStyle name="la22 8 5 3 3" xfId="10699"/>
    <cellStyle name="la22 8 5 3 3 2" xfId="10700"/>
    <cellStyle name="la22 8 5 3 4" xfId="10701"/>
    <cellStyle name="la22 8 5 3 4 2" xfId="10702"/>
    <cellStyle name="la22 8 5 3 5" xfId="10703"/>
    <cellStyle name="la22 8 5 3 5 2" xfId="10704"/>
    <cellStyle name="la22 8 5 3 6" xfId="10705"/>
    <cellStyle name="la22 8 5 4" xfId="10706"/>
    <cellStyle name="la22 8 5 4 2" xfId="10707"/>
    <cellStyle name="la22 8 5 4 2 2" xfId="10708"/>
    <cellStyle name="la22 8 5 4 3" xfId="10709"/>
    <cellStyle name="la22 8 5 4 3 2" xfId="10710"/>
    <cellStyle name="la22 8 5 4 4" xfId="10711"/>
    <cellStyle name="la22 8 5 4 4 2" xfId="10712"/>
    <cellStyle name="la22 8 5 4 5" xfId="10713"/>
    <cellStyle name="la22 8 5 4 5 2" xfId="10714"/>
    <cellStyle name="la22 8 5 4 6" xfId="10715"/>
    <cellStyle name="la22 8 5 5" xfId="10716"/>
    <cellStyle name="la22 8 5 5 2" xfId="10717"/>
    <cellStyle name="la22 8 5 6" xfId="10718"/>
    <cellStyle name="la22 8 5 6 2" xfId="10719"/>
    <cellStyle name="la22 8 5 7" xfId="10720"/>
    <cellStyle name="la22 8 5 7 2" xfId="10721"/>
    <cellStyle name="la22 8 5 8" xfId="10722"/>
    <cellStyle name="la22 8 5 8 2" xfId="10723"/>
    <cellStyle name="la22 8 5 9" xfId="10724"/>
    <cellStyle name="la22 8 6" xfId="10725"/>
    <cellStyle name="la22 8 6 2" xfId="10726"/>
    <cellStyle name="la22 8 6 2 2" xfId="10727"/>
    <cellStyle name="la22 8 6 2 2 2" xfId="10728"/>
    <cellStyle name="la22 8 6 2 3" xfId="10729"/>
    <cellStyle name="la22 8 6 2 3 2" xfId="10730"/>
    <cellStyle name="la22 8 6 2 4" xfId="10731"/>
    <cellStyle name="la22 8 6 2 4 2" xfId="10732"/>
    <cellStyle name="la22 8 6 2 5" xfId="10733"/>
    <cellStyle name="la22 8 6 2 5 2" xfId="10734"/>
    <cellStyle name="la22 8 6 2 6" xfId="10735"/>
    <cellStyle name="la22 8 6 3" xfId="10736"/>
    <cellStyle name="la22 8 6 3 2" xfId="10737"/>
    <cellStyle name="la22 8 6 3 2 2" xfId="10738"/>
    <cellStyle name="la22 8 6 3 3" xfId="10739"/>
    <cellStyle name="la22 8 6 3 3 2" xfId="10740"/>
    <cellStyle name="la22 8 6 3 4" xfId="10741"/>
    <cellStyle name="la22 8 6 3 4 2" xfId="10742"/>
    <cellStyle name="la22 8 6 3 5" xfId="10743"/>
    <cellStyle name="la22 8 6 3 5 2" xfId="10744"/>
    <cellStyle name="la22 8 6 3 6" xfId="10745"/>
    <cellStyle name="la22 8 6 4" xfId="10746"/>
    <cellStyle name="la22 8 6 4 2" xfId="10747"/>
    <cellStyle name="la22 8 6 5" xfId="10748"/>
    <cellStyle name="la22 8 6 5 2" xfId="10749"/>
    <cellStyle name="la22 8 6 6" xfId="10750"/>
    <cellStyle name="la22 8 6 6 2" xfId="10751"/>
    <cellStyle name="la22 8 6 7" xfId="10752"/>
    <cellStyle name="la22 8 6 7 2" xfId="10753"/>
    <cellStyle name="la22 8 6 8" xfId="10754"/>
    <cellStyle name="la22 8 7" xfId="10755"/>
    <cellStyle name="la22 8 7 2" xfId="10756"/>
    <cellStyle name="la22 8 7 2 2" xfId="10757"/>
    <cellStyle name="la22 8 7 3" xfId="10758"/>
    <cellStyle name="la22 8 7 3 2" xfId="10759"/>
    <cellStyle name="la22 8 7 4" xfId="10760"/>
    <cellStyle name="la22 8 7 4 2" xfId="10761"/>
    <cellStyle name="la22 8 7 5" xfId="10762"/>
    <cellStyle name="la22 8 7 5 2" xfId="10763"/>
    <cellStyle name="la22 8 7 6" xfId="10764"/>
    <cellStyle name="la22 8 8" xfId="10765"/>
    <cellStyle name="la22 8 8 2" xfId="10766"/>
    <cellStyle name="la22 8 8 2 2" xfId="10767"/>
    <cellStyle name="la22 8 8 3" xfId="10768"/>
    <cellStyle name="la22 8 8 3 2" xfId="10769"/>
    <cellStyle name="la22 8 8 4" xfId="10770"/>
    <cellStyle name="la22 8 8 4 2" xfId="10771"/>
    <cellStyle name="la22 8 8 5" xfId="10772"/>
    <cellStyle name="la22 8 8 5 2" xfId="10773"/>
    <cellStyle name="la22 8 8 6" xfId="10774"/>
    <cellStyle name="la22 8 9" xfId="10775"/>
    <cellStyle name="la22 8 9 2" xfId="10776"/>
    <cellStyle name="la22 9" xfId="703"/>
    <cellStyle name="la22 9 10" xfId="10777"/>
    <cellStyle name="la22 9 10 2" xfId="10778"/>
    <cellStyle name="la22 9 11" xfId="10779"/>
    <cellStyle name="la22 9 11 2" xfId="10780"/>
    <cellStyle name="la22 9 12" xfId="10781"/>
    <cellStyle name="la22 9 2" xfId="2259"/>
    <cellStyle name="la22 9 2 10" xfId="10782"/>
    <cellStyle name="la22 9 2 2" xfId="2260"/>
    <cellStyle name="la22 9 2 2 2" xfId="10783"/>
    <cellStyle name="la22 9 2 2 2 2" xfId="10784"/>
    <cellStyle name="la22 9 2 2 2 2 2" xfId="10785"/>
    <cellStyle name="la22 9 2 2 2 2 2 2" xfId="10786"/>
    <cellStyle name="la22 9 2 2 2 2 3" xfId="10787"/>
    <cellStyle name="la22 9 2 2 2 2 3 2" xfId="10788"/>
    <cellStyle name="la22 9 2 2 2 2 4" xfId="10789"/>
    <cellStyle name="la22 9 2 2 2 2 4 2" xfId="10790"/>
    <cellStyle name="la22 9 2 2 2 2 5" xfId="10791"/>
    <cellStyle name="la22 9 2 2 2 2 5 2" xfId="10792"/>
    <cellStyle name="la22 9 2 2 2 2 6" xfId="10793"/>
    <cellStyle name="la22 9 2 2 2 3" xfId="10794"/>
    <cellStyle name="la22 9 2 2 2 3 2" xfId="10795"/>
    <cellStyle name="la22 9 2 2 2 3 2 2" xfId="10796"/>
    <cellStyle name="la22 9 2 2 2 3 3" xfId="10797"/>
    <cellStyle name="la22 9 2 2 2 3 3 2" xfId="10798"/>
    <cellStyle name="la22 9 2 2 2 3 4" xfId="10799"/>
    <cellStyle name="la22 9 2 2 2 3 4 2" xfId="10800"/>
    <cellStyle name="la22 9 2 2 2 3 5" xfId="10801"/>
    <cellStyle name="la22 9 2 2 2 3 5 2" xfId="10802"/>
    <cellStyle name="la22 9 2 2 2 3 6" xfId="10803"/>
    <cellStyle name="la22 9 2 2 2 4" xfId="10804"/>
    <cellStyle name="la22 9 2 2 2 4 2" xfId="10805"/>
    <cellStyle name="la22 9 2 2 2 5" xfId="10806"/>
    <cellStyle name="la22 9 2 2 2 5 2" xfId="10807"/>
    <cellStyle name="la22 9 2 2 2 6" xfId="10808"/>
    <cellStyle name="la22 9 2 2 2 6 2" xfId="10809"/>
    <cellStyle name="la22 9 2 2 2 7" xfId="10810"/>
    <cellStyle name="la22 9 2 2 2 7 2" xfId="10811"/>
    <cellStyle name="la22 9 2 2 2 8" xfId="10812"/>
    <cellStyle name="la22 9 2 2 3" xfId="10813"/>
    <cellStyle name="la22 9 2 2 3 2" xfId="10814"/>
    <cellStyle name="la22 9 2 2 3 2 2" xfId="10815"/>
    <cellStyle name="la22 9 2 2 3 3" xfId="10816"/>
    <cellStyle name="la22 9 2 2 3 3 2" xfId="10817"/>
    <cellStyle name="la22 9 2 2 3 4" xfId="10818"/>
    <cellStyle name="la22 9 2 2 3 4 2" xfId="10819"/>
    <cellStyle name="la22 9 2 2 3 5" xfId="10820"/>
    <cellStyle name="la22 9 2 2 3 5 2" xfId="10821"/>
    <cellStyle name="la22 9 2 2 3 6" xfId="10822"/>
    <cellStyle name="la22 9 2 2 4" xfId="10823"/>
    <cellStyle name="la22 9 2 2 4 2" xfId="10824"/>
    <cellStyle name="la22 9 2 2 4 2 2" xfId="10825"/>
    <cellStyle name="la22 9 2 2 4 3" xfId="10826"/>
    <cellStyle name="la22 9 2 2 4 3 2" xfId="10827"/>
    <cellStyle name="la22 9 2 2 4 4" xfId="10828"/>
    <cellStyle name="la22 9 2 2 4 4 2" xfId="10829"/>
    <cellStyle name="la22 9 2 2 4 5" xfId="10830"/>
    <cellStyle name="la22 9 2 2 4 5 2" xfId="10831"/>
    <cellStyle name="la22 9 2 2 4 6" xfId="10832"/>
    <cellStyle name="la22 9 2 2 5" xfId="10833"/>
    <cellStyle name="la22 9 2 2 5 2" xfId="10834"/>
    <cellStyle name="la22 9 2 2 6" xfId="10835"/>
    <cellStyle name="la22 9 2 2 6 2" xfId="10836"/>
    <cellStyle name="la22 9 2 2 7" xfId="10837"/>
    <cellStyle name="la22 9 2 2 7 2" xfId="10838"/>
    <cellStyle name="la22 9 2 2 8" xfId="10839"/>
    <cellStyle name="la22 9 2 2 8 2" xfId="10840"/>
    <cellStyle name="la22 9 2 2 9" xfId="10841"/>
    <cellStyle name="la22 9 2 3" xfId="10842"/>
    <cellStyle name="la22 9 2 3 2" xfId="10843"/>
    <cellStyle name="la22 9 2 3 2 2" xfId="10844"/>
    <cellStyle name="la22 9 2 3 2 2 2" xfId="10845"/>
    <cellStyle name="la22 9 2 3 2 3" xfId="10846"/>
    <cellStyle name="la22 9 2 3 2 3 2" xfId="10847"/>
    <cellStyle name="la22 9 2 3 2 4" xfId="10848"/>
    <cellStyle name="la22 9 2 3 2 4 2" xfId="10849"/>
    <cellStyle name="la22 9 2 3 2 5" xfId="10850"/>
    <cellStyle name="la22 9 2 3 2 5 2" xfId="10851"/>
    <cellStyle name="la22 9 2 3 2 6" xfId="10852"/>
    <cellStyle name="la22 9 2 3 3" xfId="10853"/>
    <cellStyle name="la22 9 2 3 3 2" xfId="10854"/>
    <cellStyle name="la22 9 2 3 3 2 2" xfId="10855"/>
    <cellStyle name="la22 9 2 3 3 3" xfId="10856"/>
    <cellStyle name="la22 9 2 3 3 3 2" xfId="10857"/>
    <cellStyle name="la22 9 2 3 3 4" xfId="10858"/>
    <cellStyle name="la22 9 2 3 3 4 2" xfId="10859"/>
    <cellStyle name="la22 9 2 3 3 5" xfId="10860"/>
    <cellStyle name="la22 9 2 3 3 5 2" xfId="10861"/>
    <cellStyle name="la22 9 2 3 3 6" xfId="10862"/>
    <cellStyle name="la22 9 2 3 4" xfId="10863"/>
    <cellStyle name="la22 9 2 3 4 2" xfId="10864"/>
    <cellStyle name="la22 9 2 3 5" xfId="10865"/>
    <cellStyle name="la22 9 2 3 5 2" xfId="10866"/>
    <cellStyle name="la22 9 2 3 6" xfId="10867"/>
    <cellStyle name="la22 9 2 3 6 2" xfId="10868"/>
    <cellStyle name="la22 9 2 3 7" xfId="10869"/>
    <cellStyle name="la22 9 2 3 7 2" xfId="10870"/>
    <cellStyle name="la22 9 2 3 8" xfId="10871"/>
    <cellStyle name="la22 9 2 4" xfId="10872"/>
    <cellStyle name="la22 9 2 4 2" xfId="10873"/>
    <cellStyle name="la22 9 2 4 2 2" xfId="10874"/>
    <cellStyle name="la22 9 2 4 3" xfId="10875"/>
    <cellStyle name="la22 9 2 4 3 2" xfId="10876"/>
    <cellStyle name="la22 9 2 4 4" xfId="10877"/>
    <cellStyle name="la22 9 2 4 4 2" xfId="10878"/>
    <cellStyle name="la22 9 2 4 5" xfId="10879"/>
    <cellStyle name="la22 9 2 4 5 2" xfId="10880"/>
    <cellStyle name="la22 9 2 4 6" xfId="10881"/>
    <cellStyle name="la22 9 2 5" xfId="10882"/>
    <cellStyle name="la22 9 2 5 2" xfId="10883"/>
    <cellStyle name="la22 9 2 5 2 2" xfId="10884"/>
    <cellStyle name="la22 9 2 5 3" xfId="10885"/>
    <cellStyle name="la22 9 2 5 3 2" xfId="10886"/>
    <cellStyle name="la22 9 2 5 4" xfId="10887"/>
    <cellStyle name="la22 9 2 5 4 2" xfId="10888"/>
    <cellStyle name="la22 9 2 5 5" xfId="10889"/>
    <cellStyle name="la22 9 2 5 5 2" xfId="10890"/>
    <cellStyle name="la22 9 2 5 6" xfId="10891"/>
    <cellStyle name="la22 9 2 6" xfId="10892"/>
    <cellStyle name="la22 9 2 6 2" xfId="10893"/>
    <cellStyle name="la22 9 2 7" xfId="10894"/>
    <cellStyle name="la22 9 2 7 2" xfId="10895"/>
    <cellStyle name="la22 9 2 8" xfId="10896"/>
    <cellStyle name="la22 9 2 8 2" xfId="10897"/>
    <cellStyle name="la22 9 2 9" xfId="10898"/>
    <cellStyle name="la22 9 2 9 2" xfId="10899"/>
    <cellStyle name="la22 9 3" xfId="2261"/>
    <cellStyle name="la22 9 3 10" xfId="10900"/>
    <cellStyle name="la22 9 3 2" xfId="2262"/>
    <cellStyle name="la22 9 3 2 2" xfId="10901"/>
    <cellStyle name="la22 9 3 2 2 2" xfId="10902"/>
    <cellStyle name="la22 9 3 2 2 2 2" xfId="10903"/>
    <cellStyle name="la22 9 3 2 2 2 2 2" xfId="10904"/>
    <cellStyle name="la22 9 3 2 2 2 3" xfId="10905"/>
    <cellStyle name="la22 9 3 2 2 2 3 2" xfId="10906"/>
    <cellStyle name="la22 9 3 2 2 2 4" xfId="10907"/>
    <cellStyle name="la22 9 3 2 2 2 4 2" xfId="10908"/>
    <cellStyle name="la22 9 3 2 2 2 5" xfId="10909"/>
    <cellStyle name="la22 9 3 2 2 2 5 2" xfId="10910"/>
    <cellStyle name="la22 9 3 2 2 2 6" xfId="10911"/>
    <cellStyle name="la22 9 3 2 2 3" xfId="10912"/>
    <cellStyle name="la22 9 3 2 2 3 2" xfId="10913"/>
    <cellStyle name="la22 9 3 2 2 3 2 2" xfId="10914"/>
    <cellStyle name="la22 9 3 2 2 3 3" xfId="10915"/>
    <cellStyle name="la22 9 3 2 2 3 3 2" xfId="10916"/>
    <cellStyle name="la22 9 3 2 2 3 4" xfId="10917"/>
    <cellStyle name="la22 9 3 2 2 3 4 2" xfId="10918"/>
    <cellStyle name="la22 9 3 2 2 3 5" xfId="10919"/>
    <cellStyle name="la22 9 3 2 2 3 5 2" xfId="10920"/>
    <cellStyle name="la22 9 3 2 2 3 6" xfId="10921"/>
    <cellStyle name="la22 9 3 2 2 4" xfId="10922"/>
    <cellStyle name="la22 9 3 2 2 4 2" xfId="10923"/>
    <cellStyle name="la22 9 3 2 2 5" xfId="10924"/>
    <cellStyle name="la22 9 3 2 2 5 2" xfId="10925"/>
    <cellStyle name="la22 9 3 2 2 6" xfId="10926"/>
    <cellStyle name="la22 9 3 2 2 6 2" xfId="10927"/>
    <cellStyle name="la22 9 3 2 2 7" xfId="10928"/>
    <cellStyle name="la22 9 3 2 2 7 2" xfId="10929"/>
    <cellStyle name="la22 9 3 2 2 8" xfId="10930"/>
    <cellStyle name="la22 9 3 2 3" xfId="10931"/>
    <cellStyle name="la22 9 3 2 3 2" xfId="10932"/>
    <cellStyle name="la22 9 3 2 3 2 2" xfId="10933"/>
    <cellStyle name="la22 9 3 2 3 3" xfId="10934"/>
    <cellStyle name="la22 9 3 2 3 3 2" xfId="10935"/>
    <cellStyle name="la22 9 3 2 3 4" xfId="10936"/>
    <cellStyle name="la22 9 3 2 3 4 2" xfId="10937"/>
    <cellStyle name="la22 9 3 2 3 5" xfId="10938"/>
    <cellStyle name="la22 9 3 2 3 5 2" xfId="10939"/>
    <cellStyle name="la22 9 3 2 3 6" xfId="10940"/>
    <cellStyle name="la22 9 3 2 4" xfId="10941"/>
    <cellStyle name="la22 9 3 2 4 2" xfId="10942"/>
    <cellStyle name="la22 9 3 2 4 2 2" xfId="10943"/>
    <cellStyle name="la22 9 3 2 4 3" xfId="10944"/>
    <cellStyle name="la22 9 3 2 4 3 2" xfId="10945"/>
    <cellStyle name="la22 9 3 2 4 4" xfId="10946"/>
    <cellStyle name="la22 9 3 2 4 4 2" xfId="10947"/>
    <cellStyle name="la22 9 3 2 4 5" xfId="10948"/>
    <cellStyle name="la22 9 3 2 4 5 2" xfId="10949"/>
    <cellStyle name="la22 9 3 2 4 6" xfId="10950"/>
    <cellStyle name="la22 9 3 2 5" xfId="10951"/>
    <cellStyle name="la22 9 3 2 5 2" xfId="10952"/>
    <cellStyle name="la22 9 3 2 6" xfId="10953"/>
    <cellStyle name="la22 9 3 2 6 2" xfId="10954"/>
    <cellStyle name="la22 9 3 2 7" xfId="10955"/>
    <cellStyle name="la22 9 3 2 7 2" xfId="10956"/>
    <cellStyle name="la22 9 3 2 8" xfId="10957"/>
    <cellStyle name="la22 9 3 2 8 2" xfId="10958"/>
    <cellStyle name="la22 9 3 2 9" xfId="10959"/>
    <cellStyle name="la22 9 3 3" xfId="10960"/>
    <cellStyle name="la22 9 3 3 2" xfId="10961"/>
    <cellStyle name="la22 9 3 3 2 2" xfId="10962"/>
    <cellStyle name="la22 9 3 3 2 2 2" xfId="10963"/>
    <cellStyle name="la22 9 3 3 2 3" xfId="10964"/>
    <cellStyle name="la22 9 3 3 2 3 2" xfId="10965"/>
    <cellStyle name="la22 9 3 3 2 4" xfId="10966"/>
    <cellStyle name="la22 9 3 3 2 4 2" xfId="10967"/>
    <cellStyle name="la22 9 3 3 2 5" xfId="10968"/>
    <cellStyle name="la22 9 3 3 2 5 2" xfId="10969"/>
    <cellStyle name="la22 9 3 3 2 6" xfId="10970"/>
    <cellStyle name="la22 9 3 3 3" xfId="10971"/>
    <cellStyle name="la22 9 3 3 3 2" xfId="10972"/>
    <cellStyle name="la22 9 3 3 3 2 2" xfId="10973"/>
    <cellStyle name="la22 9 3 3 3 3" xfId="10974"/>
    <cellStyle name="la22 9 3 3 3 3 2" xfId="10975"/>
    <cellStyle name="la22 9 3 3 3 4" xfId="10976"/>
    <cellStyle name="la22 9 3 3 3 4 2" xfId="10977"/>
    <cellStyle name="la22 9 3 3 3 5" xfId="10978"/>
    <cellStyle name="la22 9 3 3 3 5 2" xfId="10979"/>
    <cellStyle name="la22 9 3 3 3 6" xfId="10980"/>
    <cellStyle name="la22 9 3 3 4" xfId="10981"/>
    <cellStyle name="la22 9 3 3 4 2" xfId="10982"/>
    <cellStyle name="la22 9 3 3 5" xfId="10983"/>
    <cellStyle name="la22 9 3 3 5 2" xfId="10984"/>
    <cellStyle name="la22 9 3 3 6" xfId="10985"/>
    <cellStyle name="la22 9 3 3 6 2" xfId="10986"/>
    <cellStyle name="la22 9 3 3 7" xfId="10987"/>
    <cellStyle name="la22 9 3 3 7 2" xfId="10988"/>
    <cellStyle name="la22 9 3 3 8" xfId="10989"/>
    <cellStyle name="la22 9 3 4" xfId="10990"/>
    <cellStyle name="la22 9 3 4 2" xfId="10991"/>
    <cellStyle name="la22 9 3 4 2 2" xfId="10992"/>
    <cellStyle name="la22 9 3 4 3" xfId="10993"/>
    <cellStyle name="la22 9 3 4 3 2" xfId="10994"/>
    <cellStyle name="la22 9 3 4 4" xfId="10995"/>
    <cellStyle name="la22 9 3 4 4 2" xfId="10996"/>
    <cellStyle name="la22 9 3 4 5" xfId="10997"/>
    <cellStyle name="la22 9 3 4 5 2" xfId="10998"/>
    <cellStyle name="la22 9 3 4 6" xfId="10999"/>
    <cellStyle name="la22 9 3 5" xfId="11000"/>
    <cellStyle name="la22 9 3 5 2" xfId="11001"/>
    <cellStyle name="la22 9 3 5 2 2" xfId="11002"/>
    <cellStyle name="la22 9 3 5 3" xfId="11003"/>
    <cellStyle name="la22 9 3 5 3 2" xfId="11004"/>
    <cellStyle name="la22 9 3 5 4" xfId="11005"/>
    <cellStyle name="la22 9 3 5 4 2" xfId="11006"/>
    <cellStyle name="la22 9 3 5 5" xfId="11007"/>
    <cellStyle name="la22 9 3 5 5 2" xfId="11008"/>
    <cellStyle name="la22 9 3 5 6" xfId="11009"/>
    <cellStyle name="la22 9 3 6" xfId="11010"/>
    <cellStyle name="la22 9 3 6 2" xfId="11011"/>
    <cellStyle name="la22 9 3 7" xfId="11012"/>
    <cellStyle name="la22 9 3 7 2" xfId="11013"/>
    <cellStyle name="la22 9 3 8" xfId="11014"/>
    <cellStyle name="la22 9 3 8 2" xfId="11015"/>
    <cellStyle name="la22 9 3 9" xfId="11016"/>
    <cellStyle name="la22 9 3 9 2" xfId="11017"/>
    <cellStyle name="la22 9 4" xfId="2263"/>
    <cellStyle name="la22 9 4 2" xfId="11018"/>
    <cellStyle name="la22 9 4 2 2" xfId="11019"/>
    <cellStyle name="la22 9 4 2 2 2" xfId="11020"/>
    <cellStyle name="la22 9 4 2 2 2 2" xfId="11021"/>
    <cellStyle name="la22 9 4 2 2 3" xfId="11022"/>
    <cellStyle name="la22 9 4 2 2 3 2" xfId="11023"/>
    <cellStyle name="la22 9 4 2 2 4" xfId="11024"/>
    <cellStyle name="la22 9 4 2 2 4 2" xfId="11025"/>
    <cellStyle name="la22 9 4 2 2 5" xfId="11026"/>
    <cellStyle name="la22 9 4 2 2 5 2" xfId="11027"/>
    <cellStyle name="la22 9 4 2 2 6" xfId="11028"/>
    <cellStyle name="la22 9 4 2 3" xfId="11029"/>
    <cellStyle name="la22 9 4 2 3 2" xfId="11030"/>
    <cellStyle name="la22 9 4 2 3 2 2" xfId="11031"/>
    <cellStyle name="la22 9 4 2 3 3" xfId="11032"/>
    <cellStyle name="la22 9 4 2 3 3 2" xfId="11033"/>
    <cellStyle name="la22 9 4 2 3 4" xfId="11034"/>
    <cellStyle name="la22 9 4 2 3 4 2" xfId="11035"/>
    <cellStyle name="la22 9 4 2 3 5" xfId="11036"/>
    <cellStyle name="la22 9 4 2 3 5 2" xfId="11037"/>
    <cellStyle name="la22 9 4 2 3 6" xfId="11038"/>
    <cellStyle name="la22 9 4 2 4" xfId="11039"/>
    <cellStyle name="la22 9 4 2 4 2" xfId="11040"/>
    <cellStyle name="la22 9 4 2 5" xfId="11041"/>
    <cellStyle name="la22 9 4 2 5 2" xfId="11042"/>
    <cellStyle name="la22 9 4 2 6" xfId="11043"/>
    <cellStyle name="la22 9 4 2 6 2" xfId="11044"/>
    <cellStyle name="la22 9 4 2 7" xfId="11045"/>
    <cellStyle name="la22 9 4 2 7 2" xfId="11046"/>
    <cellStyle name="la22 9 4 2 8" xfId="11047"/>
    <cellStyle name="la22 9 4 3" xfId="11048"/>
    <cellStyle name="la22 9 4 3 2" xfId="11049"/>
    <cellStyle name="la22 9 4 3 2 2" xfId="11050"/>
    <cellStyle name="la22 9 4 3 3" xfId="11051"/>
    <cellStyle name="la22 9 4 3 3 2" xfId="11052"/>
    <cellStyle name="la22 9 4 3 4" xfId="11053"/>
    <cellStyle name="la22 9 4 3 4 2" xfId="11054"/>
    <cellStyle name="la22 9 4 3 5" xfId="11055"/>
    <cellStyle name="la22 9 4 3 5 2" xfId="11056"/>
    <cellStyle name="la22 9 4 3 6" xfId="11057"/>
    <cellStyle name="la22 9 4 4" xfId="11058"/>
    <cellStyle name="la22 9 4 4 2" xfId="11059"/>
    <cellStyle name="la22 9 4 4 2 2" xfId="11060"/>
    <cellStyle name="la22 9 4 4 3" xfId="11061"/>
    <cellStyle name="la22 9 4 4 3 2" xfId="11062"/>
    <cellStyle name="la22 9 4 4 4" xfId="11063"/>
    <cellStyle name="la22 9 4 4 4 2" xfId="11064"/>
    <cellStyle name="la22 9 4 4 5" xfId="11065"/>
    <cellStyle name="la22 9 4 4 5 2" xfId="11066"/>
    <cellStyle name="la22 9 4 4 6" xfId="11067"/>
    <cellStyle name="la22 9 4 5" xfId="11068"/>
    <cellStyle name="la22 9 4 5 2" xfId="11069"/>
    <cellStyle name="la22 9 4 6" xfId="11070"/>
    <cellStyle name="la22 9 4 6 2" xfId="11071"/>
    <cellStyle name="la22 9 4 7" xfId="11072"/>
    <cellStyle name="la22 9 4 7 2" xfId="11073"/>
    <cellStyle name="la22 9 4 8" xfId="11074"/>
    <cellStyle name="la22 9 4 8 2" xfId="11075"/>
    <cellStyle name="la22 9 4 9" xfId="11076"/>
    <cellStyle name="la22 9 5" xfId="11077"/>
    <cellStyle name="la22 9 5 2" xfId="11078"/>
    <cellStyle name="la22 9 5 2 2" xfId="11079"/>
    <cellStyle name="la22 9 5 2 2 2" xfId="11080"/>
    <cellStyle name="la22 9 5 2 3" xfId="11081"/>
    <cellStyle name="la22 9 5 2 3 2" xfId="11082"/>
    <cellStyle name="la22 9 5 2 4" xfId="11083"/>
    <cellStyle name="la22 9 5 2 4 2" xfId="11084"/>
    <cellStyle name="la22 9 5 2 5" xfId="11085"/>
    <cellStyle name="la22 9 5 2 5 2" xfId="11086"/>
    <cellStyle name="la22 9 5 2 6" xfId="11087"/>
    <cellStyle name="la22 9 5 3" xfId="11088"/>
    <cellStyle name="la22 9 5 3 2" xfId="11089"/>
    <cellStyle name="la22 9 5 3 2 2" xfId="11090"/>
    <cellStyle name="la22 9 5 3 3" xfId="11091"/>
    <cellStyle name="la22 9 5 3 3 2" xfId="11092"/>
    <cellStyle name="la22 9 5 3 4" xfId="11093"/>
    <cellStyle name="la22 9 5 3 4 2" xfId="11094"/>
    <cellStyle name="la22 9 5 3 5" xfId="11095"/>
    <cellStyle name="la22 9 5 3 5 2" xfId="11096"/>
    <cellStyle name="la22 9 5 3 6" xfId="11097"/>
    <cellStyle name="la22 9 5 4" xfId="11098"/>
    <cellStyle name="la22 9 5 4 2" xfId="11099"/>
    <cellStyle name="la22 9 5 5" xfId="11100"/>
    <cellStyle name="la22 9 5 5 2" xfId="11101"/>
    <cellStyle name="la22 9 5 6" xfId="11102"/>
    <cellStyle name="la22 9 5 6 2" xfId="11103"/>
    <cellStyle name="la22 9 5 7" xfId="11104"/>
    <cellStyle name="la22 9 5 7 2" xfId="11105"/>
    <cellStyle name="la22 9 5 8" xfId="11106"/>
    <cellStyle name="la22 9 6" xfId="11107"/>
    <cellStyle name="la22 9 6 2" xfId="11108"/>
    <cellStyle name="la22 9 6 2 2" xfId="11109"/>
    <cellStyle name="la22 9 6 3" xfId="11110"/>
    <cellStyle name="la22 9 6 3 2" xfId="11111"/>
    <cellStyle name="la22 9 6 4" xfId="11112"/>
    <cellStyle name="la22 9 6 4 2" xfId="11113"/>
    <cellStyle name="la22 9 6 5" xfId="11114"/>
    <cellStyle name="la22 9 6 5 2" xfId="11115"/>
    <cellStyle name="la22 9 6 6" xfId="11116"/>
    <cellStyle name="la22 9 7" xfId="11117"/>
    <cellStyle name="la22 9 7 2" xfId="11118"/>
    <cellStyle name="la22 9 7 2 2" xfId="11119"/>
    <cellStyle name="la22 9 7 3" xfId="11120"/>
    <cellStyle name="la22 9 7 3 2" xfId="11121"/>
    <cellStyle name="la22 9 7 4" xfId="11122"/>
    <cellStyle name="la22 9 7 4 2" xfId="11123"/>
    <cellStyle name="la22 9 7 5" xfId="11124"/>
    <cellStyle name="la22 9 7 5 2" xfId="11125"/>
    <cellStyle name="la22 9 7 6" xfId="11126"/>
    <cellStyle name="la22 9 8" xfId="11127"/>
    <cellStyle name="la22 9 8 2" xfId="11128"/>
    <cellStyle name="la22 9 9" xfId="11129"/>
    <cellStyle name="la22 9 9 2" xfId="11130"/>
    <cellStyle name="Linked Cell" xfId="704"/>
    <cellStyle name="Linked Cell 2" xfId="11131"/>
    <cellStyle name="Linked Cell 3" xfId="11132"/>
    <cellStyle name="Linked Cell 4" xfId="11133"/>
    <cellStyle name="LISTA" xfId="705"/>
    <cellStyle name="mb01" xfId="11134"/>
    <cellStyle name="mb01 2" xfId="11135"/>
    <cellStyle name="mb01 3" xfId="11136"/>
    <cellStyle name="mb11" xfId="11137"/>
    <cellStyle name="mb11 2" xfId="11138"/>
    <cellStyle name="mb11 3" xfId="11139"/>
    <cellStyle name="mbf11" xfId="11140"/>
    <cellStyle name="MENU" xfId="706"/>
    <cellStyle name="mes" xfId="707"/>
    <cellStyle name="Milhar" xfId="708"/>
    <cellStyle name="Millares [0]_10 AVERIAS MASIVAS + ANT" xfId="11141"/>
    <cellStyle name="Millares_10 AVERIAS MASIVAS + ANT" xfId="11142"/>
    <cellStyle name="Milliers [0]_35heures" xfId="11143"/>
    <cellStyle name="Milliers_35heures" xfId="11144"/>
    <cellStyle name="Moeda 10" xfId="2264"/>
    <cellStyle name="Moeda 10 2" xfId="2265"/>
    <cellStyle name="Moeda 10 2 2" xfId="11145"/>
    <cellStyle name="Moeda 10 2 2 2" xfId="11146"/>
    <cellStyle name="Moeda 10 2 3" xfId="11147"/>
    <cellStyle name="Moeda 10 3" xfId="2266"/>
    <cellStyle name="Moeda 10 3 2" xfId="11148"/>
    <cellStyle name="Moeda 10 3 2 2" xfId="11149"/>
    <cellStyle name="Moeda 10 3 3" xfId="11150"/>
    <cellStyle name="Moeda 10 4" xfId="11151"/>
    <cellStyle name="Moeda 10 4 2" xfId="11152"/>
    <cellStyle name="Moeda 10 5" xfId="11153"/>
    <cellStyle name="Moeda 11" xfId="11154"/>
    <cellStyle name="Moeda 11 2" xfId="11155"/>
    <cellStyle name="Moeda 12" xfId="11156"/>
    <cellStyle name="Moeda 12 2" xfId="11157"/>
    <cellStyle name="Moeda 13" xfId="11158"/>
    <cellStyle name="Moeda 14" xfId="11159"/>
    <cellStyle name="Moeda 15" xfId="11160"/>
    <cellStyle name="Moeda 2" xfId="709"/>
    <cellStyle name="Moeda 2 10" xfId="11161"/>
    <cellStyle name="Moeda 2 2" xfId="710"/>
    <cellStyle name="Moeda 2 2 10" xfId="711"/>
    <cellStyle name="Moeda 2 2 10 2" xfId="11162"/>
    <cellStyle name="Moeda 2 2 10 2 2" xfId="11163"/>
    <cellStyle name="Moeda 2 2 10 3" xfId="11164"/>
    <cellStyle name="Moeda 2 2 11" xfId="11165"/>
    <cellStyle name="Moeda 2 2 11 2" xfId="11166"/>
    <cellStyle name="Moeda 2 2 12" xfId="11167"/>
    <cellStyle name="Moeda 2 2 2" xfId="712"/>
    <cellStyle name="Moeda 2 2 2 2" xfId="11168"/>
    <cellStyle name="Moeda 2 2 2 2 2" xfId="11169"/>
    <cellStyle name="Moeda 2 2 2 3" xfId="11170"/>
    <cellStyle name="Moeda 2 2 3" xfId="713"/>
    <cellStyle name="Moeda 2 2 3 2" xfId="11171"/>
    <cellStyle name="Moeda 2 2 3 2 2" xfId="11172"/>
    <cellStyle name="Moeda 2 2 3 3" xfId="11173"/>
    <cellStyle name="Moeda 2 2 4" xfId="714"/>
    <cellStyle name="Moeda 2 2 4 2" xfId="11174"/>
    <cellStyle name="Moeda 2 2 4 2 2" xfId="11175"/>
    <cellStyle name="Moeda 2 2 4 3" xfId="11176"/>
    <cellStyle name="Moeda 2 2 5" xfId="715"/>
    <cellStyle name="Moeda 2 2 5 2" xfId="11177"/>
    <cellStyle name="Moeda 2 2 5 2 2" xfId="11178"/>
    <cellStyle name="Moeda 2 2 5 3" xfId="11179"/>
    <cellStyle name="Moeda 2 2 6" xfId="716"/>
    <cellStyle name="Moeda 2 2 6 2" xfId="11180"/>
    <cellStyle name="Moeda 2 2 6 2 2" xfId="11181"/>
    <cellStyle name="Moeda 2 2 6 3" xfId="11182"/>
    <cellStyle name="Moeda 2 2 7" xfId="717"/>
    <cellStyle name="Moeda 2 2 7 2" xfId="11183"/>
    <cellStyle name="Moeda 2 2 7 2 2" xfId="11184"/>
    <cellStyle name="Moeda 2 2 7 3" xfId="11185"/>
    <cellStyle name="Moeda 2 2 8" xfId="718"/>
    <cellStyle name="Moeda 2 2 8 2" xfId="11186"/>
    <cellStyle name="Moeda 2 2 8 2 2" xfId="11187"/>
    <cellStyle name="Moeda 2 2 8 3" xfId="11188"/>
    <cellStyle name="Moeda 2 2 9" xfId="719"/>
    <cellStyle name="Moeda 2 2 9 2" xfId="11189"/>
    <cellStyle name="Moeda 2 2 9 2 2" xfId="11190"/>
    <cellStyle name="Moeda 2 2 9 3" xfId="11191"/>
    <cellStyle name="Moeda 2 2_Base indicadores" xfId="720"/>
    <cellStyle name="Moeda 2 3" xfId="721"/>
    <cellStyle name="Moeda 2 3 2" xfId="722"/>
    <cellStyle name="Moeda 2 4" xfId="723"/>
    <cellStyle name="Moeda 2 4 2" xfId="724"/>
    <cellStyle name="Moeda 2 4 3" xfId="11192"/>
    <cellStyle name="Moeda 2 4 3 2" xfId="11193"/>
    <cellStyle name="Moeda 2 4 4" xfId="11194"/>
    <cellStyle name="Moeda 2 5" xfId="725"/>
    <cellStyle name="Moeda 2 5 2" xfId="726"/>
    <cellStyle name="Moeda 2 5 3" xfId="11195"/>
    <cellStyle name="Moeda 2 5 3 2" xfId="11196"/>
    <cellStyle name="Moeda 2 5 4" xfId="11197"/>
    <cellStyle name="Moeda 2 6" xfId="727"/>
    <cellStyle name="Moeda 2 6 2" xfId="728"/>
    <cellStyle name="Moeda 2 7" xfId="729"/>
    <cellStyle name="Moeda 2 7 2" xfId="730"/>
    <cellStyle name="Moeda 2 8" xfId="731"/>
    <cellStyle name="Moeda 2 9" xfId="11198"/>
    <cellStyle name="Moeda 2 9 2" xfId="11199"/>
    <cellStyle name="Moeda 2_base (2)" xfId="732"/>
    <cellStyle name="Moeda 3" xfId="733"/>
    <cellStyle name="Moeda 3 10" xfId="734"/>
    <cellStyle name="Moeda 3 10 2" xfId="11200"/>
    <cellStyle name="Moeda 3 10 2 2" xfId="11201"/>
    <cellStyle name="Moeda 3 10 3" xfId="11202"/>
    <cellStyle name="Moeda 3 11" xfId="735"/>
    <cellStyle name="Moeda 3 11 2" xfId="11203"/>
    <cellStyle name="Moeda 3 11 2 2" xfId="11204"/>
    <cellStyle name="Moeda 3 11 3" xfId="11205"/>
    <cellStyle name="Moeda 3 12" xfId="11206"/>
    <cellStyle name="Moeda 3 12 2" xfId="11207"/>
    <cellStyle name="Moeda 3 13" xfId="11208"/>
    <cellStyle name="Moeda 3 2" xfId="736"/>
    <cellStyle name="Moeda 3 2 10" xfId="737"/>
    <cellStyle name="Moeda 3 2 10 2" xfId="11209"/>
    <cellStyle name="Moeda 3 2 10 2 2" xfId="11210"/>
    <cellStyle name="Moeda 3 2 10 3" xfId="11211"/>
    <cellStyle name="Moeda 3 2 11" xfId="11212"/>
    <cellStyle name="Moeda 3 2 11 2" xfId="11213"/>
    <cellStyle name="Moeda 3 2 12" xfId="11214"/>
    <cellStyle name="Moeda 3 2 2" xfId="738"/>
    <cellStyle name="Moeda 3 2 2 2" xfId="11215"/>
    <cellStyle name="Moeda 3 2 2 2 2" xfId="11216"/>
    <cellStyle name="Moeda 3 2 2 3" xfId="11217"/>
    <cellStyle name="Moeda 3 2 3" xfId="739"/>
    <cellStyle name="Moeda 3 2 3 2" xfId="11218"/>
    <cellStyle name="Moeda 3 2 3 2 2" xfId="11219"/>
    <cellStyle name="Moeda 3 2 3 3" xfId="11220"/>
    <cellStyle name="Moeda 3 2 4" xfId="740"/>
    <cellStyle name="Moeda 3 2 4 2" xfId="11221"/>
    <cellStyle name="Moeda 3 2 4 2 2" xfId="11222"/>
    <cellStyle name="Moeda 3 2 4 3" xfId="11223"/>
    <cellStyle name="Moeda 3 2 5" xfId="741"/>
    <cellStyle name="Moeda 3 2 5 2" xfId="11224"/>
    <cellStyle name="Moeda 3 2 5 2 2" xfId="11225"/>
    <cellStyle name="Moeda 3 2 5 3" xfId="11226"/>
    <cellStyle name="Moeda 3 2 6" xfId="742"/>
    <cellStyle name="Moeda 3 2 6 2" xfId="11227"/>
    <cellStyle name="Moeda 3 2 6 2 2" xfId="11228"/>
    <cellStyle name="Moeda 3 2 6 3" xfId="11229"/>
    <cellStyle name="Moeda 3 2 7" xfId="743"/>
    <cellStyle name="Moeda 3 2 7 2" xfId="11230"/>
    <cellStyle name="Moeda 3 2 7 2 2" xfId="11231"/>
    <cellStyle name="Moeda 3 2 7 3" xfId="11232"/>
    <cellStyle name="Moeda 3 2 8" xfId="744"/>
    <cellStyle name="Moeda 3 2 8 2" xfId="11233"/>
    <cellStyle name="Moeda 3 2 8 2 2" xfId="11234"/>
    <cellStyle name="Moeda 3 2 8 3" xfId="11235"/>
    <cellStyle name="Moeda 3 2 9" xfId="745"/>
    <cellStyle name="Moeda 3 2 9 2" xfId="11236"/>
    <cellStyle name="Moeda 3 2 9 2 2" xfId="11237"/>
    <cellStyle name="Moeda 3 2 9 3" xfId="11238"/>
    <cellStyle name="Moeda 3 3" xfId="746"/>
    <cellStyle name="Moeda 3 3 2" xfId="11239"/>
    <cellStyle name="Moeda 3 3 2 2" xfId="11240"/>
    <cellStyle name="Moeda 3 3 3" xfId="11241"/>
    <cellStyle name="Moeda 3 4" xfId="747"/>
    <cellStyle name="Moeda 3 4 2" xfId="11242"/>
    <cellStyle name="Moeda 3 4 2 2" xfId="11243"/>
    <cellStyle name="Moeda 3 4 3" xfId="11244"/>
    <cellStyle name="Moeda 3 5" xfId="748"/>
    <cellStyle name="Moeda 3 5 2" xfId="11245"/>
    <cellStyle name="Moeda 3 5 2 2" xfId="11246"/>
    <cellStyle name="Moeda 3 5 3" xfId="11247"/>
    <cellStyle name="Moeda 3 6" xfId="749"/>
    <cellStyle name="Moeda 3 6 2" xfId="11248"/>
    <cellStyle name="Moeda 3 6 2 2" xfId="11249"/>
    <cellStyle name="Moeda 3 6 3" xfId="11250"/>
    <cellStyle name="Moeda 3 7" xfId="750"/>
    <cellStyle name="Moeda 3 7 2" xfId="11251"/>
    <cellStyle name="Moeda 3 7 2 2" xfId="11252"/>
    <cellStyle name="Moeda 3 7 3" xfId="11253"/>
    <cellStyle name="Moeda 3 8" xfId="751"/>
    <cellStyle name="Moeda 3 8 2" xfId="11254"/>
    <cellStyle name="Moeda 3 8 2 2" xfId="11255"/>
    <cellStyle name="Moeda 3 8 3" xfId="11256"/>
    <cellStyle name="Moeda 3 9" xfId="752"/>
    <cellStyle name="Moeda 3 9 2" xfId="11257"/>
    <cellStyle name="Moeda 3 9 2 2" xfId="11258"/>
    <cellStyle name="Moeda 3 9 3" xfId="11259"/>
    <cellStyle name="Moeda 3_Base indicadores" xfId="753"/>
    <cellStyle name="Moeda 4" xfId="754"/>
    <cellStyle name="Moeda 4 10" xfId="755"/>
    <cellStyle name="Moeda 4 10 2" xfId="11260"/>
    <cellStyle name="Moeda 4 10 2 2" xfId="11261"/>
    <cellStyle name="Moeda 4 10 3" xfId="11262"/>
    <cellStyle name="Moeda 4 11" xfId="11263"/>
    <cellStyle name="Moeda 4 11 2" xfId="11264"/>
    <cellStyle name="Moeda 4 12" xfId="11265"/>
    <cellStyle name="Moeda 4 2" xfId="756"/>
    <cellStyle name="Moeda 4 2 2" xfId="2267"/>
    <cellStyle name="Moeda 4 2 2 2" xfId="11266"/>
    <cellStyle name="Moeda 4 2 2 2 2" xfId="11267"/>
    <cellStyle name="Moeda 4 2 2 3" xfId="11268"/>
    <cellStyle name="Moeda 4 2 3" xfId="2268"/>
    <cellStyle name="Moeda 4 2 3 2" xfId="11269"/>
    <cellStyle name="Moeda 4 2 3 2 2" xfId="11270"/>
    <cellStyle name="Moeda 4 2 3 3" xfId="11271"/>
    <cellStyle name="Moeda 4 2 4" xfId="11272"/>
    <cellStyle name="Moeda 4 2 4 2" xfId="11273"/>
    <cellStyle name="Moeda 4 2 5" xfId="11274"/>
    <cellStyle name="Moeda 4 3" xfId="757"/>
    <cellStyle name="Moeda 4 3 2" xfId="11275"/>
    <cellStyle name="Moeda 4 3 2 2" xfId="11276"/>
    <cellStyle name="Moeda 4 3 3" xfId="11277"/>
    <cellStyle name="Moeda 4 4" xfId="758"/>
    <cellStyle name="Moeda 4 4 2" xfId="11278"/>
    <cellStyle name="Moeda 4 4 2 2" xfId="11279"/>
    <cellStyle name="Moeda 4 4 3" xfId="11280"/>
    <cellStyle name="Moeda 4 5" xfId="759"/>
    <cellStyle name="Moeda 4 5 2" xfId="11281"/>
    <cellStyle name="Moeda 4 5 2 2" xfId="11282"/>
    <cellStyle name="Moeda 4 5 3" xfId="11283"/>
    <cellStyle name="Moeda 4 6" xfId="760"/>
    <cellStyle name="Moeda 4 6 2" xfId="11284"/>
    <cellStyle name="Moeda 4 6 2 2" xfId="11285"/>
    <cellStyle name="Moeda 4 6 3" xfId="11286"/>
    <cellStyle name="Moeda 4 7" xfId="761"/>
    <cellStyle name="Moeda 4 7 2" xfId="11287"/>
    <cellStyle name="Moeda 4 7 2 2" xfId="11288"/>
    <cellStyle name="Moeda 4 7 3" xfId="11289"/>
    <cellStyle name="Moeda 4 8" xfId="762"/>
    <cellStyle name="Moeda 4 8 2" xfId="11290"/>
    <cellStyle name="Moeda 4 8 2 2" xfId="11291"/>
    <cellStyle name="Moeda 4 8 3" xfId="11292"/>
    <cellStyle name="Moeda 4 9" xfId="763"/>
    <cellStyle name="Moeda 4 9 2" xfId="11293"/>
    <cellStyle name="Moeda 4 9 2 2" xfId="11294"/>
    <cellStyle name="Moeda 4 9 3" xfId="11295"/>
    <cellStyle name="Moeda 4_Base indicadores" xfId="764"/>
    <cellStyle name="Moeda 5" xfId="765"/>
    <cellStyle name="Moeda 5 2" xfId="2269"/>
    <cellStyle name="Moeda 5 2 2" xfId="2270"/>
    <cellStyle name="Moeda 5 2 2 2" xfId="11296"/>
    <cellStyle name="Moeda 5 2 2 2 2" xfId="11297"/>
    <cellStyle name="Moeda 5 2 2 3" xfId="11298"/>
    <cellStyle name="Moeda 5 2 3" xfId="2271"/>
    <cellStyle name="Moeda 5 2 3 2" xfId="11299"/>
    <cellStyle name="Moeda 5 2 3 2 2" xfId="11300"/>
    <cellStyle name="Moeda 5 2 3 3" xfId="11301"/>
    <cellStyle name="Moeda 5 2 4" xfId="11302"/>
    <cellStyle name="Moeda 5 2 4 2" xfId="11303"/>
    <cellStyle name="Moeda 5 2 5" xfId="11304"/>
    <cellStyle name="Moeda 6" xfId="2272"/>
    <cellStyle name="Moeda 6 2" xfId="2273"/>
    <cellStyle name="Moeda 6 3" xfId="2274"/>
    <cellStyle name="Moeda 6 3 2" xfId="11305"/>
    <cellStyle name="Moeda 6 3 2 2" xfId="11306"/>
    <cellStyle name="Moeda 6 3 3" xfId="11307"/>
    <cellStyle name="Moeda 6 4" xfId="2275"/>
    <cellStyle name="Moeda 6 4 2" xfId="11308"/>
    <cellStyle name="Moeda 6 4 2 2" xfId="11309"/>
    <cellStyle name="Moeda 6 4 3" xfId="11310"/>
    <cellStyle name="Moeda 6 5" xfId="11311"/>
    <cellStyle name="Moeda 6 5 2" xfId="11312"/>
    <cellStyle name="Moeda 6 6" xfId="11313"/>
    <cellStyle name="Moeda 7" xfId="2276"/>
    <cellStyle name="Moeda 7 2" xfId="2277"/>
    <cellStyle name="Moeda 8" xfId="2278"/>
    <cellStyle name="Moeda 8 2" xfId="2279"/>
    <cellStyle name="Moeda 8 2 2" xfId="11314"/>
    <cellStyle name="Moeda 8 2 2 2" xfId="11315"/>
    <cellStyle name="Moeda 8 2 3" xfId="11316"/>
    <cellStyle name="Moeda 8 3" xfId="2280"/>
    <cellStyle name="Moeda 8 3 2" xfId="11317"/>
    <cellStyle name="Moeda 8 3 2 2" xfId="11318"/>
    <cellStyle name="Moeda 8 3 3" xfId="11319"/>
    <cellStyle name="Moeda 8 4" xfId="11320"/>
    <cellStyle name="Moeda 8 4 2" xfId="11321"/>
    <cellStyle name="Moeda 8 5" xfId="11322"/>
    <cellStyle name="Moeda 9" xfId="2281"/>
    <cellStyle name="Moeda 9 2" xfId="2282"/>
    <cellStyle name="Moeda 9 2 2" xfId="11323"/>
    <cellStyle name="Moeda 9 2 2 2" xfId="11324"/>
    <cellStyle name="Moeda 9 2 3" xfId="11325"/>
    <cellStyle name="Moeda 9 3" xfId="2283"/>
    <cellStyle name="Moeda 9 3 2" xfId="11326"/>
    <cellStyle name="Moeda 9 3 2 2" xfId="11327"/>
    <cellStyle name="Moeda 9 3 3" xfId="11328"/>
    <cellStyle name="Moeda 9 4" xfId="11329"/>
    <cellStyle name="Moeda 9 4 2" xfId="11330"/>
    <cellStyle name="Moeda 9 5" xfId="11331"/>
    <cellStyle name="Moneda [0]_10 AVERIAS MASIVAS + ANT" xfId="11332"/>
    <cellStyle name="Moneda_10 AVERIAS MASIVAS + ANT" xfId="11333"/>
    <cellStyle name="Monétaire [0]_35heures" xfId="11334"/>
    <cellStyle name="Monétaire_35heures" xfId="11335"/>
    <cellStyle name="Monetario" xfId="11336"/>
    <cellStyle name="Month-Year" xfId="766"/>
    <cellStyle name="Month-Year 2" xfId="11337"/>
    <cellStyle name="movimentação" xfId="11338"/>
    <cellStyle name="movimentação 2" xfId="11339"/>
    <cellStyle name="MR$" xfId="767"/>
    <cellStyle name="MUS$" xfId="768"/>
    <cellStyle name="mv02" xfId="11340"/>
    <cellStyle name="mv02 2" xfId="11341"/>
    <cellStyle name="mv02 3" xfId="11342"/>
    <cellStyle name="mv12" xfId="11343"/>
    <cellStyle name="mv12 2" xfId="11344"/>
    <cellStyle name="mv12 3" xfId="11345"/>
    <cellStyle name="mva03" xfId="11346"/>
    <cellStyle name="mva03 2" xfId="11347"/>
    <cellStyle name="mva03 3" xfId="11348"/>
    <cellStyle name="mva13" xfId="11349"/>
    <cellStyle name="mva13 2" xfId="11350"/>
    <cellStyle name="mva13 3" xfId="11351"/>
    <cellStyle name="Name" xfId="2284"/>
    <cellStyle name="nd" xfId="769"/>
    <cellStyle name="Neutra 10" xfId="770"/>
    <cellStyle name="Neutra 11" xfId="771"/>
    <cellStyle name="Neutra 12" xfId="772"/>
    <cellStyle name="Neutra 13" xfId="11352"/>
    <cellStyle name="Neutra 14" xfId="11353"/>
    <cellStyle name="Neutra 15" xfId="11354"/>
    <cellStyle name="Neutra 16" xfId="11355"/>
    <cellStyle name="Neutra 17" xfId="11356"/>
    <cellStyle name="Neutra 2" xfId="773"/>
    <cellStyle name="Neutra 2 2" xfId="774"/>
    <cellStyle name="Neutra 2 3" xfId="775"/>
    <cellStyle name="Neutra 2 4" xfId="776"/>
    <cellStyle name="Neutra 2 5" xfId="777"/>
    <cellStyle name="Neutra 2 6" xfId="778"/>
    <cellStyle name="Neutra 3" xfId="779"/>
    <cellStyle name="Neutra 3 2" xfId="2285"/>
    <cellStyle name="Neutra 4" xfId="780"/>
    <cellStyle name="Neutra 4 2" xfId="2286"/>
    <cellStyle name="Neutra 5" xfId="781"/>
    <cellStyle name="Neutra 5 2" xfId="2287"/>
    <cellStyle name="Neutra 6" xfId="782"/>
    <cellStyle name="Neutra 7" xfId="783"/>
    <cellStyle name="Neutra 8" xfId="784"/>
    <cellStyle name="Neutra 9" xfId="785"/>
    <cellStyle name="Neutral" xfId="786"/>
    <cellStyle name="Neutral 2" xfId="11357"/>
    <cellStyle name="Neutral 3" xfId="11358"/>
    <cellStyle name="Neutral 4" xfId="11359"/>
    <cellStyle name="NewAcct" xfId="2288"/>
    <cellStyle name="no dec" xfId="11360"/>
    <cellStyle name="No-definido" xfId="11361"/>
    <cellStyle name="No-definido 2" xfId="11362"/>
    <cellStyle name="No-definido 3" xfId="11363"/>
    <cellStyle name="Normal" xfId="0" builtinId="0"/>
    <cellStyle name="Normal - Estilo1" xfId="11364"/>
    <cellStyle name="Normal - Style1" xfId="11365"/>
    <cellStyle name="Normal - Style1 2" xfId="11366"/>
    <cellStyle name="Normal - Style1 3" xfId="11367"/>
    <cellStyle name="Normal (B)" xfId="2289"/>
    <cellStyle name="Normal (G)" xfId="2290"/>
    <cellStyle name="Normal 10" xfId="787"/>
    <cellStyle name="Normal 10 10" xfId="788"/>
    <cellStyle name="Normal 10 10 2" xfId="789"/>
    <cellStyle name="Normal 10 11" xfId="790"/>
    <cellStyle name="Normal 10 12" xfId="791"/>
    <cellStyle name="Normal 10 13" xfId="792"/>
    <cellStyle name="Normal 10 2" xfId="793"/>
    <cellStyle name="Normal 10 2 10" xfId="794"/>
    <cellStyle name="Normal 10 2 2" xfId="795"/>
    <cellStyle name="Normal 10 2 3" xfId="796"/>
    <cellStyle name="Normal 10 2 3 2" xfId="11368"/>
    <cellStyle name="Normal 10 2 4" xfId="797"/>
    <cellStyle name="Normal 10 2 5" xfId="798"/>
    <cellStyle name="Normal 10 2 6" xfId="799"/>
    <cellStyle name="Normal 10 2 7" xfId="800"/>
    <cellStyle name="Normal 10 2 8" xfId="801"/>
    <cellStyle name="Normal 10 2 9" xfId="802"/>
    <cellStyle name="Normal 10 3" xfId="803"/>
    <cellStyle name="Normal 10 3 10" xfId="804"/>
    <cellStyle name="Normal 10 3 2" xfId="805"/>
    <cellStyle name="Normal 10 3 3" xfId="806"/>
    <cellStyle name="Normal 10 3 4" xfId="807"/>
    <cellStyle name="Normal 10 3 5" xfId="808"/>
    <cellStyle name="Normal 10 3 6" xfId="809"/>
    <cellStyle name="Normal 10 3 7" xfId="810"/>
    <cellStyle name="Normal 10 3 8" xfId="811"/>
    <cellStyle name="Normal 10 3 9" xfId="812"/>
    <cellStyle name="Normal 10 4" xfId="813"/>
    <cellStyle name="Normal 10 4 10" xfId="814"/>
    <cellStyle name="Normal 10 4 11" xfId="815"/>
    <cellStyle name="Normal 10 4 2" xfId="816"/>
    <cellStyle name="Normal 10 4 2 2" xfId="11369"/>
    <cellStyle name="Normal 10 4 3" xfId="817"/>
    <cellStyle name="Normal 10 4 3 2" xfId="11370"/>
    <cellStyle name="Normal 10 4 4" xfId="818"/>
    <cellStyle name="Normal 10 4 5" xfId="819"/>
    <cellStyle name="Normal 10 4 6" xfId="820"/>
    <cellStyle name="Normal 10 4 7" xfId="821"/>
    <cellStyle name="Normal 10 4 8" xfId="822"/>
    <cellStyle name="Normal 10 4 9" xfId="823"/>
    <cellStyle name="Normal 10 5" xfId="824"/>
    <cellStyle name="Normal 10 6" xfId="825"/>
    <cellStyle name="Normal 10 7" xfId="826"/>
    <cellStyle name="Normal 10 8" xfId="827"/>
    <cellStyle name="Normal 10 9" xfId="828"/>
    <cellStyle name="Normal 10_ARQUITETURA_PA" xfId="829"/>
    <cellStyle name="Normal 11" xfId="830"/>
    <cellStyle name="Normal 11 10" xfId="831"/>
    <cellStyle name="Normal 11 11" xfId="832"/>
    <cellStyle name="Normal 11 12" xfId="833"/>
    <cellStyle name="Normal 11 2" xfId="834"/>
    <cellStyle name="Normal 11 2 10" xfId="835"/>
    <cellStyle name="Normal 11 2 2" xfId="836"/>
    <cellStyle name="Normal 11 2 3" xfId="837"/>
    <cellStyle name="Normal 11 2 4" xfId="838"/>
    <cellStyle name="Normal 11 2 5" xfId="839"/>
    <cellStyle name="Normal 11 2 6" xfId="840"/>
    <cellStyle name="Normal 11 2 7" xfId="841"/>
    <cellStyle name="Normal 11 2 8" xfId="842"/>
    <cellStyle name="Normal 11 2 9" xfId="843"/>
    <cellStyle name="Normal 11 3" xfId="844"/>
    <cellStyle name="Normal 11 3 10" xfId="845"/>
    <cellStyle name="Normal 11 3 2" xfId="846"/>
    <cellStyle name="Normal 11 3 3" xfId="847"/>
    <cellStyle name="Normal 11 3 4" xfId="848"/>
    <cellStyle name="Normal 11 3 5" xfId="849"/>
    <cellStyle name="Normal 11 3 6" xfId="850"/>
    <cellStyle name="Normal 11 3 7" xfId="851"/>
    <cellStyle name="Normal 11 3 8" xfId="852"/>
    <cellStyle name="Normal 11 3 9" xfId="853"/>
    <cellStyle name="Normal 11 4" xfId="854"/>
    <cellStyle name="Normal 11 5" xfId="855"/>
    <cellStyle name="Normal 11 6" xfId="856"/>
    <cellStyle name="Normal 11 7" xfId="857"/>
    <cellStyle name="Normal 11 75" xfId="11371"/>
    <cellStyle name="Normal 11 75 2" xfId="11372"/>
    <cellStyle name="Normal 11 75 2 2" xfId="11373"/>
    <cellStyle name="Normal 11 75 3" xfId="11374"/>
    <cellStyle name="Normal 11 75 3 2" xfId="11375"/>
    <cellStyle name="Normal 11 75 4" xfId="11376"/>
    <cellStyle name="Normal 11 75 5" xfId="11377"/>
    <cellStyle name="Normal 11 8" xfId="858"/>
    <cellStyle name="Normal 11 9" xfId="859"/>
    <cellStyle name="Normal 11_ARQUITETURA_PA" xfId="860"/>
    <cellStyle name="Normal 12" xfId="861"/>
    <cellStyle name="Normal 12 10" xfId="862"/>
    <cellStyle name="Normal 12 11" xfId="863"/>
    <cellStyle name="Normal 12 12" xfId="864"/>
    <cellStyle name="Normal 12 2" xfId="865"/>
    <cellStyle name="Normal 12 2 10" xfId="866"/>
    <cellStyle name="Normal 12 2 2" xfId="867"/>
    <cellStyle name="Normal 12 2 3" xfId="868"/>
    <cellStyle name="Normal 12 2 4" xfId="869"/>
    <cellStyle name="Normal 12 2 5" xfId="870"/>
    <cellStyle name="Normal 12 2 6" xfId="871"/>
    <cellStyle name="Normal 12 2 7" xfId="872"/>
    <cellStyle name="Normal 12 2 8" xfId="873"/>
    <cellStyle name="Normal 12 2 9" xfId="874"/>
    <cellStyle name="Normal 12 3" xfId="875"/>
    <cellStyle name="Normal 12 3 10" xfId="876"/>
    <cellStyle name="Normal 12 3 2" xfId="877"/>
    <cellStyle name="Normal 12 3 3" xfId="878"/>
    <cellStyle name="Normal 12 3 4" xfId="879"/>
    <cellStyle name="Normal 12 3 5" xfId="880"/>
    <cellStyle name="Normal 12 3 6" xfId="881"/>
    <cellStyle name="Normal 12 3 7" xfId="882"/>
    <cellStyle name="Normal 12 3 8" xfId="883"/>
    <cellStyle name="Normal 12 3 9" xfId="884"/>
    <cellStyle name="Normal 12 4" xfId="885"/>
    <cellStyle name="Normal 12 5" xfId="886"/>
    <cellStyle name="Normal 12 6" xfId="887"/>
    <cellStyle name="Normal 12 7" xfId="888"/>
    <cellStyle name="Normal 12 8" xfId="889"/>
    <cellStyle name="Normal 12 9" xfId="890"/>
    <cellStyle name="Normal 12_ARQUITETURA_PA" xfId="891"/>
    <cellStyle name="Normal 13" xfId="892"/>
    <cellStyle name="Normal 13 10" xfId="893"/>
    <cellStyle name="Normal 13 11" xfId="894"/>
    <cellStyle name="Normal 13 11 2" xfId="11378"/>
    <cellStyle name="Normal 13 12" xfId="895"/>
    <cellStyle name="Normal 13 2" xfId="896"/>
    <cellStyle name="Normal 13 2 10" xfId="897"/>
    <cellStyle name="Normal 13 2 2" xfId="898"/>
    <cellStyle name="Normal 13 2 2 2" xfId="11379"/>
    <cellStyle name="Normal 13 2 2 3" xfId="11380"/>
    <cellStyle name="Normal 13 2 3" xfId="899"/>
    <cellStyle name="Normal 13 2 3 2" xfId="11381"/>
    <cellStyle name="Normal 13 2 4" xfId="900"/>
    <cellStyle name="Normal 13 2 5" xfId="901"/>
    <cellStyle name="Normal 13 2 6" xfId="902"/>
    <cellStyle name="Normal 13 2 7" xfId="903"/>
    <cellStyle name="Normal 13 2 8" xfId="904"/>
    <cellStyle name="Normal 13 2 9" xfId="905"/>
    <cellStyle name="Normal 13 3" xfId="906"/>
    <cellStyle name="Normal 13 3 10" xfId="907"/>
    <cellStyle name="Normal 13 3 2" xfId="908"/>
    <cellStyle name="Normal 13 3 2 2" xfId="11382"/>
    <cellStyle name="Normal 13 3 2 3" xfId="11383"/>
    <cellStyle name="Normal 13 3 2 4" xfId="11384"/>
    <cellStyle name="Normal 13 3 3" xfId="909"/>
    <cellStyle name="Normal 13 3 4" xfId="910"/>
    <cellStyle name="Normal 13 3 5" xfId="911"/>
    <cellStyle name="Normal 13 3 6" xfId="912"/>
    <cellStyle name="Normal 13 3 7" xfId="913"/>
    <cellStyle name="Normal 13 3 8" xfId="914"/>
    <cellStyle name="Normal 13 3 9" xfId="915"/>
    <cellStyle name="Normal 13 4" xfId="916"/>
    <cellStyle name="Normal 13 4 2" xfId="11385"/>
    <cellStyle name="Normal 13 4 3" xfId="11386"/>
    <cellStyle name="Normal 13 4 4" xfId="11387"/>
    <cellStyle name="Normal 13 5" xfId="917"/>
    <cellStyle name="Normal 13 5 2" xfId="11388"/>
    <cellStyle name="Normal 13 6" xfId="918"/>
    <cellStyle name="Normal 13 6 2" xfId="11389"/>
    <cellStyle name="Normal 13 7" xfId="919"/>
    <cellStyle name="Normal 13 7 2" xfId="11390"/>
    <cellStyle name="Normal 13 7 2 2" xfId="11391"/>
    <cellStyle name="Normal 13 7 3" xfId="11392"/>
    <cellStyle name="Normal 13 8" xfId="920"/>
    <cellStyle name="Normal 13 9" xfId="921"/>
    <cellStyle name="Normal 13_ARQUITETURA_PA" xfId="922"/>
    <cellStyle name="Normal 14" xfId="923"/>
    <cellStyle name="Normal 14 2" xfId="924"/>
    <cellStyle name="Normal 14 2 2" xfId="11393"/>
    <cellStyle name="Normal 14 3" xfId="11394"/>
    <cellStyle name="Normal 14 3 2" xfId="11395"/>
    <cellStyle name="Normal 14 4" xfId="11396"/>
    <cellStyle name="Normal 14 5" xfId="11397"/>
    <cellStyle name="Normal 14 6" xfId="11398"/>
    <cellStyle name="Normal 15" xfId="925"/>
    <cellStyle name="Normal 15 2" xfId="926"/>
    <cellStyle name="Normal 15 2 2" xfId="11399"/>
    <cellStyle name="Normal 15 2 3" xfId="11400"/>
    <cellStyle name="Normal 15 3" xfId="11401"/>
    <cellStyle name="Normal 15 3 2" xfId="11402"/>
    <cellStyle name="Normal 15 4" xfId="11403"/>
    <cellStyle name="Normal 15 5" xfId="11404"/>
    <cellStyle name="Normal 15 6" xfId="11405"/>
    <cellStyle name="Normal 16" xfId="927"/>
    <cellStyle name="Normal 16 2" xfId="11406"/>
    <cellStyle name="Normal 16 2 2" xfId="11407"/>
    <cellStyle name="Normal 16 2 3" xfId="11408"/>
    <cellStyle name="Normal 16 2 4" xfId="11409"/>
    <cellStyle name="Normal 16 3" xfId="11410"/>
    <cellStyle name="Normal 16 3 2" xfId="11411"/>
    <cellStyle name="Normal 16 4" xfId="11412"/>
    <cellStyle name="Normal 16 5" xfId="11413"/>
    <cellStyle name="Normal 16 6" xfId="11414"/>
    <cellStyle name="Normal 17" xfId="928"/>
    <cellStyle name="Normal 17 10" xfId="929"/>
    <cellStyle name="Normal 17 2" xfId="930"/>
    <cellStyle name="Normal 17 3" xfId="931"/>
    <cellStyle name="Normal 17 4" xfId="932"/>
    <cellStyle name="Normal 17 5" xfId="933"/>
    <cellStyle name="Normal 17 6" xfId="934"/>
    <cellStyle name="Normal 17 7" xfId="935"/>
    <cellStyle name="Normal 17 8" xfId="936"/>
    <cellStyle name="Normal 17 9" xfId="937"/>
    <cellStyle name="Normal 18" xfId="938"/>
    <cellStyle name="Normal 18 10" xfId="939"/>
    <cellStyle name="Normal 18 2" xfId="940"/>
    <cellStyle name="Normal 18 3" xfId="941"/>
    <cellStyle name="Normal 18 4" xfId="942"/>
    <cellStyle name="Normal 18 5" xfId="943"/>
    <cellStyle name="Normal 18 6" xfId="944"/>
    <cellStyle name="Normal 18 7" xfId="945"/>
    <cellStyle name="Normal 18 8" xfId="946"/>
    <cellStyle name="Normal 18 9" xfId="947"/>
    <cellStyle name="Normal 19" xfId="948"/>
    <cellStyle name="Normal 19 10" xfId="949"/>
    <cellStyle name="Normal 19 2" xfId="950"/>
    <cellStyle name="Normal 19 3" xfId="951"/>
    <cellStyle name="Normal 19 4" xfId="952"/>
    <cellStyle name="Normal 19 5" xfId="953"/>
    <cellStyle name="Normal 19 6" xfId="954"/>
    <cellStyle name="Normal 19 7" xfId="955"/>
    <cellStyle name="Normal 19 8" xfId="956"/>
    <cellStyle name="Normal 19 9" xfId="957"/>
    <cellStyle name="Normal 2" xfId="958"/>
    <cellStyle name="Normal 2 1 1" xfId="959"/>
    <cellStyle name="Normal 2 10" xfId="11415"/>
    <cellStyle name="Normal 2 11" xfId="11416"/>
    <cellStyle name="Normal 2 12" xfId="11417"/>
    <cellStyle name="Normal 2 13" xfId="11418"/>
    <cellStyle name="Normal 2 14" xfId="11419"/>
    <cellStyle name="Normal 2 15" xfId="11420"/>
    <cellStyle name="Normal 2 16" xfId="11421"/>
    <cellStyle name="Normal 2 17" xfId="11422"/>
    <cellStyle name="Normal 2 18" xfId="11423"/>
    <cellStyle name="Normal 2 19" xfId="11424"/>
    <cellStyle name="Normal 2 2" xfId="960"/>
    <cellStyle name="Normal 2 2 10" xfId="961"/>
    <cellStyle name="Normal 2 2 11" xfId="11425"/>
    <cellStyle name="Normal 2 2 2" xfId="962"/>
    <cellStyle name="Normal 2 2 2 2" xfId="11426"/>
    <cellStyle name="Normal 2 2 2 3" xfId="11427"/>
    <cellStyle name="Normal 2 2 3" xfId="963"/>
    <cellStyle name="Normal 2 2 3 2" xfId="11428"/>
    <cellStyle name="Normal 2 2 4" xfId="964"/>
    <cellStyle name="Normal 2 2 4 2" xfId="11429"/>
    <cellStyle name="Normal 2 2 5" xfId="965"/>
    <cellStyle name="Normal 2 2 6" xfId="966"/>
    <cellStyle name="Normal 2 2 7" xfId="967"/>
    <cellStyle name="Normal 2 2 8" xfId="968"/>
    <cellStyle name="Normal 2 2 9" xfId="969"/>
    <cellStyle name="Normal 2 2_base (2)" xfId="970"/>
    <cellStyle name="Normal 2 20" xfId="11430"/>
    <cellStyle name="Normal 2 21" xfId="11431"/>
    <cellStyle name="Normal 2 21 2" xfId="11432"/>
    <cellStyle name="Normal 2 22" xfId="2806"/>
    <cellStyle name="Normal 2 23" xfId="11433"/>
    <cellStyle name="Normal 2 24" xfId="11434"/>
    <cellStyle name="Normal 2 25" xfId="11435"/>
    <cellStyle name="Normal 2 26" xfId="11436"/>
    <cellStyle name="Normal 2 27" xfId="11437"/>
    <cellStyle name="Normal 2 3" xfId="971"/>
    <cellStyle name="Normal 2 3 10" xfId="972"/>
    <cellStyle name="Normal 2 3 2" xfId="973"/>
    <cellStyle name="Normal 2 3 2 2" xfId="11438"/>
    <cellStyle name="Normal 2 3 3" xfId="974"/>
    <cellStyle name="Normal 2 3 4" xfId="975"/>
    <cellStyle name="Normal 2 3 5" xfId="976"/>
    <cellStyle name="Normal 2 3 6" xfId="977"/>
    <cellStyle name="Normal 2 3 7" xfId="978"/>
    <cellStyle name="Normal 2 3 8" xfId="979"/>
    <cellStyle name="Normal 2 3 9" xfId="980"/>
    <cellStyle name="Normal 2 3_Plan1" xfId="981"/>
    <cellStyle name="Normal 2 4" xfId="982"/>
    <cellStyle name="Normal 2 4 10" xfId="983"/>
    <cellStyle name="Normal 2 4 2" xfId="984"/>
    <cellStyle name="Normal 2 4 3" xfId="985"/>
    <cellStyle name="Normal 2 4 4" xfId="986"/>
    <cellStyle name="Normal 2 4 5" xfId="987"/>
    <cellStyle name="Normal 2 4 6" xfId="988"/>
    <cellStyle name="Normal 2 4 7" xfId="989"/>
    <cellStyle name="Normal 2 4 8" xfId="990"/>
    <cellStyle name="Normal 2 4 9" xfId="991"/>
    <cellStyle name="Normal 2 5" xfId="992"/>
    <cellStyle name="Normal 2 5 2" xfId="993"/>
    <cellStyle name="Normal 2 5 2 2" xfId="11439"/>
    <cellStyle name="Normal 2 5 2 3" xfId="20574"/>
    <cellStyle name="Normal 2 5 3" xfId="11440"/>
    <cellStyle name="Normal 2 6" xfId="994"/>
    <cellStyle name="Normal 2 6 2" xfId="11441"/>
    <cellStyle name="Normal 2 7" xfId="995"/>
    <cellStyle name="Normal 2 8" xfId="996"/>
    <cellStyle name="Normal 2 9" xfId="11442"/>
    <cellStyle name="Normal 2_Alimentacao Dados" xfId="997"/>
    <cellStyle name="Normal 20" xfId="998"/>
    <cellStyle name="Normal 20 10" xfId="999"/>
    <cellStyle name="Normal 20 2" xfId="1000"/>
    <cellStyle name="Normal 20 3" xfId="1001"/>
    <cellStyle name="Normal 20 4" xfId="1002"/>
    <cellStyle name="Normal 20 5" xfId="1003"/>
    <cellStyle name="Normal 20 6" xfId="1004"/>
    <cellStyle name="Normal 20 7" xfId="1005"/>
    <cellStyle name="Normal 20 8" xfId="1006"/>
    <cellStyle name="Normal 20 9" xfId="1007"/>
    <cellStyle name="Normal 21" xfId="1008"/>
    <cellStyle name="Normal 21 2" xfId="2291"/>
    <cellStyle name="Normal 22" xfId="1009"/>
    <cellStyle name="Normal 22 2" xfId="1010"/>
    <cellStyle name="Normal 22 2 2" xfId="1011"/>
    <cellStyle name="Normal 22 3" xfId="2292"/>
    <cellStyle name="Normal 23" xfId="1012"/>
    <cellStyle name="Normal 23 2" xfId="11443"/>
    <cellStyle name="Normal 23 2 2" xfId="11444"/>
    <cellStyle name="Normal 24" xfId="1013"/>
    <cellStyle name="Normal 24 2" xfId="2293"/>
    <cellStyle name="Normal 24 3" xfId="2294"/>
    <cellStyle name="Normal 24 4" xfId="2295"/>
    <cellStyle name="Normal 25" xfId="1014"/>
    <cellStyle name="Normal 25 2" xfId="2296"/>
    <cellStyle name="Normal 26" xfId="1015"/>
    <cellStyle name="Normal 26 2" xfId="2297"/>
    <cellStyle name="Normal 27" xfId="1016"/>
    <cellStyle name="Normal 28" xfId="1017"/>
    <cellStyle name="Normal 28 2" xfId="11445"/>
    <cellStyle name="Normal 29" xfId="1018"/>
    <cellStyle name="Normal 29 10" xfId="1019"/>
    <cellStyle name="Normal 29 11" xfId="1020"/>
    <cellStyle name="Normal 29 2" xfId="1021"/>
    <cellStyle name="Normal 29 3" xfId="1022"/>
    <cellStyle name="Normal 29 4" xfId="1023"/>
    <cellStyle name="Normal 29 5" xfId="1024"/>
    <cellStyle name="Normal 29 6" xfId="1025"/>
    <cellStyle name="Normal 29 7" xfId="1026"/>
    <cellStyle name="Normal 29 8" xfId="1027"/>
    <cellStyle name="Normal 29 9" xfId="1028"/>
    <cellStyle name="Normal 3" xfId="1029"/>
    <cellStyle name="Normal 3 2" xfId="1030"/>
    <cellStyle name="Normal 3 2 10" xfId="1031"/>
    <cellStyle name="Normal 3 2 2" xfId="1032"/>
    <cellStyle name="Normal 3 2 2 2" xfId="11446"/>
    <cellStyle name="Normal 3 2 3" xfId="1033"/>
    <cellStyle name="Normal 3 2 3 2" xfId="11447"/>
    <cellStyle name="Normal 3 2 4" xfId="1034"/>
    <cellStyle name="Normal 3 2 5" xfId="1035"/>
    <cellStyle name="Normal 3 2 6" xfId="1036"/>
    <cellStyle name="Normal 3 2 7" xfId="1037"/>
    <cellStyle name="Normal 3 2 8" xfId="1038"/>
    <cellStyle name="Normal 3 2 9" xfId="1039"/>
    <cellStyle name="Normal 3 3" xfId="1040"/>
    <cellStyle name="Normal 3 3 10" xfId="1041"/>
    <cellStyle name="Normal 3 3 2" xfId="1042"/>
    <cellStyle name="Normal 3 3 2 2" xfId="11448"/>
    <cellStyle name="Normal 3 3 3" xfId="1043"/>
    <cellStyle name="Normal 3 3 3 2" xfId="11449"/>
    <cellStyle name="Normal 3 3 4" xfId="1044"/>
    <cellStyle name="Normal 3 3 5" xfId="1045"/>
    <cellStyle name="Normal 3 3 6" xfId="1046"/>
    <cellStyle name="Normal 3 3 7" xfId="1047"/>
    <cellStyle name="Normal 3 3 8" xfId="1048"/>
    <cellStyle name="Normal 3 3 9" xfId="1049"/>
    <cellStyle name="Normal 3 4" xfId="2298"/>
    <cellStyle name="Normal 3 4 2" xfId="11450"/>
    <cellStyle name="Normal 3 5" xfId="2299"/>
    <cellStyle name="Normal 3 5 2" xfId="11451"/>
    <cellStyle name="Normal 3 6" xfId="2300"/>
    <cellStyle name="Normal 3 7" xfId="11452"/>
    <cellStyle name="Normal 3 8" xfId="11453"/>
    <cellStyle name="Normal 3_Acompanhamento BENEFICIOS" xfId="1050"/>
    <cellStyle name="Normal 30" xfId="1051"/>
    <cellStyle name="Normal 31" xfId="1052"/>
    <cellStyle name="Normal 32" xfId="1053"/>
    <cellStyle name="Normal 32 10" xfId="1054"/>
    <cellStyle name="Normal 32 2" xfId="1055"/>
    <cellStyle name="Normal 32 3" xfId="1056"/>
    <cellStyle name="Normal 32 4" xfId="1057"/>
    <cellStyle name="Normal 32 5" xfId="1058"/>
    <cellStyle name="Normal 32 6" xfId="1059"/>
    <cellStyle name="Normal 32 7" xfId="1060"/>
    <cellStyle name="Normal 32 8" xfId="1061"/>
    <cellStyle name="Normal 32 9" xfId="1062"/>
    <cellStyle name="Normal 33" xfId="1063"/>
    <cellStyle name="Normal 33 10" xfId="1064"/>
    <cellStyle name="Normal 33 2" xfId="1065"/>
    <cellStyle name="Normal 33 3" xfId="1066"/>
    <cellStyle name="Normal 33 4" xfId="1067"/>
    <cellStyle name="Normal 33 5" xfId="1068"/>
    <cellStyle name="Normal 33 6" xfId="1069"/>
    <cellStyle name="Normal 33 7" xfId="1070"/>
    <cellStyle name="Normal 33 8" xfId="1071"/>
    <cellStyle name="Normal 33 9" xfId="1072"/>
    <cellStyle name="Normal 34" xfId="1073"/>
    <cellStyle name="Normal 34 10" xfId="1074"/>
    <cellStyle name="Normal 34 2" xfId="1075"/>
    <cellStyle name="Normal 34 3" xfId="1076"/>
    <cellStyle name="Normal 34 4" xfId="1077"/>
    <cellStyle name="Normal 34 5" xfId="1078"/>
    <cellStyle name="Normal 34 6" xfId="1079"/>
    <cellStyle name="Normal 34 7" xfId="1080"/>
    <cellStyle name="Normal 34 8" xfId="1081"/>
    <cellStyle name="Normal 34 9" xfId="1082"/>
    <cellStyle name="Normal 35" xfId="1083"/>
    <cellStyle name="Normal 35 10" xfId="1084"/>
    <cellStyle name="Normal 35 2" xfId="1085"/>
    <cellStyle name="Normal 35 2 2 2" xfId="11454"/>
    <cellStyle name="Normal 35 3" xfId="1086"/>
    <cellStyle name="Normal 35 4" xfId="1087"/>
    <cellStyle name="Normal 35 5" xfId="1088"/>
    <cellStyle name="Normal 35 6" xfId="1089"/>
    <cellStyle name="Normal 35 7" xfId="1090"/>
    <cellStyle name="Normal 35 8" xfId="1091"/>
    <cellStyle name="Normal 35 9" xfId="1092"/>
    <cellStyle name="Normal 36" xfId="1093"/>
    <cellStyle name="Normal 36 10" xfId="1094"/>
    <cellStyle name="Normal 36 11" xfId="11455"/>
    <cellStyle name="Normal 36 2" xfId="1095"/>
    <cellStyle name="Normal 36 3" xfId="1096"/>
    <cellStyle name="Normal 36 4" xfId="1097"/>
    <cellStyle name="Normal 36 5" xfId="1098"/>
    <cellStyle name="Normal 36 6" xfId="1099"/>
    <cellStyle name="Normal 36 7" xfId="1100"/>
    <cellStyle name="Normal 36 8" xfId="1101"/>
    <cellStyle name="Normal 36 9" xfId="1102"/>
    <cellStyle name="Normal 37" xfId="1103"/>
    <cellStyle name="Normal 37 10" xfId="1104"/>
    <cellStyle name="Normal 37 2" xfId="1105"/>
    <cellStyle name="Normal 37 3" xfId="1106"/>
    <cellStyle name="Normal 37 4" xfId="1107"/>
    <cellStyle name="Normal 37 5" xfId="1108"/>
    <cellStyle name="Normal 37 6" xfId="1109"/>
    <cellStyle name="Normal 37 7" xfId="1110"/>
    <cellStyle name="Normal 37 8" xfId="1111"/>
    <cellStyle name="Normal 37 9" xfId="1112"/>
    <cellStyle name="Normal 38" xfId="1113"/>
    <cellStyle name="Normal 38 10" xfId="1114"/>
    <cellStyle name="Normal 38 2" xfId="1115"/>
    <cellStyle name="Normal 38 3" xfId="1116"/>
    <cellStyle name="Normal 38 4" xfId="1117"/>
    <cellStyle name="Normal 38 5" xfId="1118"/>
    <cellStyle name="Normal 38 6" xfId="1119"/>
    <cellStyle name="Normal 38 7" xfId="1120"/>
    <cellStyle name="Normal 38 8" xfId="1121"/>
    <cellStyle name="Normal 38 9" xfId="1122"/>
    <cellStyle name="Normal 39" xfId="1123"/>
    <cellStyle name="Normal 39 10" xfId="1124"/>
    <cellStyle name="Normal 39 2" xfId="1125"/>
    <cellStyle name="Normal 39 3" xfId="1126"/>
    <cellStyle name="Normal 39 4" xfId="1127"/>
    <cellStyle name="Normal 39 5" xfId="1128"/>
    <cellStyle name="Normal 39 6" xfId="1129"/>
    <cellStyle name="Normal 39 7" xfId="1130"/>
    <cellStyle name="Normal 39 8" xfId="1131"/>
    <cellStyle name="Normal 39 9" xfId="1132"/>
    <cellStyle name="Normal 4" xfId="1133"/>
    <cellStyle name="Normal 4 2" xfId="1134"/>
    <cellStyle name="Normal 4 2 10" xfId="1135"/>
    <cellStyle name="Normal 4 2 2" xfId="1136"/>
    <cellStyle name="Normal 4 2 3" xfId="1137"/>
    <cellStyle name="Normal 4 2 4" xfId="1138"/>
    <cellStyle name="Normal 4 2 5" xfId="1139"/>
    <cellStyle name="Normal 4 2 6" xfId="1140"/>
    <cellStyle name="Normal 4 2 7" xfId="1141"/>
    <cellStyle name="Normal 4 2 8" xfId="1142"/>
    <cellStyle name="Normal 4 2 9" xfId="1143"/>
    <cellStyle name="Normal 4 3" xfId="1144"/>
    <cellStyle name="Normal 4 3 10" xfId="1145"/>
    <cellStyle name="Normal 4 3 2" xfId="1146"/>
    <cellStyle name="Normal 4 3 3" xfId="1147"/>
    <cellStyle name="Normal 4 3 4" xfId="1148"/>
    <cellStyle name="Normal 4 3 5" xfId="1149"/>
    <cellStyle name="Normal 4 3 6" xfId="1150"/>
    <cellStyle name="Normal 4 3 7" xfId="1151"/>
    <cellStyle name="Normal 4 3 8" xfId="1152"/>
    <cellStyle name="Normal 4 3 9" xfId="1153"/>
    <cellStyle name="Normal 4 4" xfId="2301"/>
    <cellStyle name="Normal 4 4 2" xfId="11456"/>
    <cellStyle name="Normal 4 5" xfId="11457"/>
    <cellStyle name="Normal 4 6" xfId="11458"/>
    <cellStyle name="Normal 4 7" xfId="11459"/>
    <cellStyle name="Normal 4 8" xfId="11460"/>
    <cellStyle name="Normal 4_ARQUITETURA_PA" xfId="2302"/>
    <cellStyle name="Normal 40" xfId="1154"/>
    <cellStyle name="Normal 40 10" xfId="1155"/>
    <cellStyle name="Normal 40 2" xfId="1156"/>
    <cellStyle name="Normal 40 3" xfId="1157"/>
    <cellStyle name="Normal 40 4" xfId="1158"/>
    <cellStyle name="Normal 40 5" xfId="1159"/>
    <cellStyle name="Normal 40 6" xfId="1160"/>
    <cellStyle name="Normal 40 7" xfId="1161"/>
    <cellStyle name="Normal 40 8" xfId="1162"/>
    <cellStyle name="Normal 40 9" xfId="1163"/>
    <cellStyle name="Normal 41" xfId="1164"/>
    <cellStyle name="Normal 41 10" xfId="1165"/>
    <cellStyle name="Normal 41 2" xfId="1166"/>
    <cellStyle name="Normal 41 3" xfId="1167"/>
    <cellStyle name="Normal 41 4" xfId="1168"/>
    <cellStyle name="Normal 41 5" xfId="1169"/>
    <cellStyle name="Normal 41 6" xfId="1170"/>
    <cellStyle name="Normal 41 7" xfId="1171"/>
    <cellStyle name="Normal 41 8" xfId="1172"/>
    <cellStyle name="Normal 41 9" xfId="1173"/>
    <cellStyle name="Normal 42" xfId="1174"/>
    <cellStyle name="Normal 42 10" xfId="1175"/>
    <cellStyle name="Normal 42 2" xfId="1176"/>
    <cellStyle name="Normal 42 3" xfId="1177"/>
    <cellStyle name="Normal 42 4" xfId="1178"/>
    <cellStyle name="Normal 42 5" xfId="1179"/>
    <cellStyle name="Normal 42 6" xfId="1180"/>
    <cellStyle name="Normal 42 7" xfId="1181"/>
    <cellStyle name="Normal 42 8" xfId="1182"/>
    <cellStyle name="Normal 42 9" xfId="1183"/>
    <cellStyle name="Normal 43" xfId="1184"/>
    <cellStyle name="Normal 43 10" xfId="1185"/>
    <cellStyle name="Normal 43 2" xfId="1186"/>
    <cellStyle name="Normal 43 3" xfId="1187"/>
    <cellStyle name="Normal 43 4" xfId="1188"/>
    <cellStyle name="Normal 43 5" xfId="1189"/>
    <cellStyle name="Normal 43 6" xfId="1190"/>
    <cellStyle name="Normal 43 7" xfId="1191"/>
    <cellStyle name="Normal 43 8" xfId="1192"/>
    <cellStyle name="Normal 43 9" xfId="1193"/>
    <cellStyle name="Normal 44" xfId="1194"/>
    <cellStyle name="Normal 44 10" xfId="1195"/>
    <cellStyle name="Normal 44 2" xfId="1196"/>
    <cellStyle name="Normal 44 3" xfId="1197"/>
    <cellStyle name="Normal 44 4" xfId="1198"/>
    <cellStyle name="Normal 44 5" xfId="1199"/>
    <cellStyle name="Normal 44 6" xfId="1200"/>
    <cellStyle name="Normal 44 7" xfId="1201"/>
    <cellStyle name="Normal 44 8" xfId="1202"/>
    <cellStyle name="Normal 44 9" xfId="1203"/>
    <cellStyle name="Normal 45" xfId="1204"/>
    <cellStyle name="Normal 45 10" xfId="1205"/>
    <cellStyle name="Normal 45 2" xfId="1206"/>
    <cellStyle name="Normal 45 3" xfId="1207"/>
    <cellStyle name="Normal 45 4" xfId="1208"/>
    <cellStyle name="Normal 45 5" xfId="1209"/>
    <cellStyle name="Normal 45 6" xfId="1210"/>
    <cellStyle name="Normal 45 7" xfId="1211"/>
    <cellStyle name="Normal 45 8" xfId="1212"/>
    <cellStyle name="Normal 45 9" xfId="1213"/>
    <cellStyle name="Normal 46" xfId="1214"/>
    <cellStyle name="Normal 46 10" xfId="1215"/>
    <cellStyle name="Normal 46 2" xfId="1216"/>
    <cellStyle name="Normal 46 3" xfId="1217"/>
    <cellStyle name="Normal 46 4" xfId="1218"/>
    <cellStyle name="Normal 46 5" xfId="1219"/>
    <cellStyle name="Normal 46 6" xfId="1220"/>
    <cellStyle name="Normal 46 7" xfId="1221"/>
    <cellStyle name="Normal 46 8" xfId="1222"/>
    <cellStyle name="Normal 46 9" xfId="1223"/>
    <cellStyle name="Normal 47" xfId="1224"/>
    <cellStyle name="Normal 47 10" xfId="1225"/>
    <cellStyle name="Normal 47 2" xfId="1226"/>
    <cellStyle name="Normal 47 3" xfId="1227"/>
    <cellStyle name="Normal 47 4" xfId="1228"/>
    <cellStyle name="Normal 47 5" xfId="1229"/>
    <cellStyle name="Normal 47 6" xfId="1230"/>
    <cellStyle name="Normal 47 7" xfId="1231"/>
    <cellStyle name="Normal 47 8" xfId="1232"/>
    <cellStyle name="Normal 47 9" xfId="1233"/>
    <cellStyle name="Normal 48" xfId="1234"/>
    <cellStyle name="Normal 48 10" xfId="1235"/>
    <cellStyle name="Normal 48 2" xfId="1236"/>
    <cellStyle name="Normal 48 3" xfId="1237"/>
    <cellStyle name="Normal 48 4" xfId="1238"/>
    <cellStyle name="Normal 48 5" xfId="1239"/>
    <cellStyle name="Normal 48 6" xfId="1240"/>
    <cellStyle name="Normal 48 7" xfId="1241"/>
    <cellStyle name="Normal 48 8" xfId="1242"/>
    <cellStyle name="Normal 48 9" xfId="1243"/>
    <cellStyle name="Normal 49" xfId="1244"/>
    <cellStyle name="Normal 49 10" xfId="1245"/>
    <cellStyle name="Normal 49 2" xfId="1246"/>
    <cellStyle name="Normal 49 3" xfId="1247"/>
    <cellStyle name="Normal 49 4" xfId="1248"/>
    <cellStyle name="Normal 49 5" xfId="1249"/>
    <cellStyle name="Normal 49 6" xfId="1250"/>
    <cellStyle name="Normal 49 7" xfId="1251"/>
    <cellStyle name="Normal 49 8" xfId="1252"/>
    <cellStyle name="Normal 49 9" xfId="1253"/>
    <cellStyle name="Normal 5" xfId="1254"/>
    <cellStyle name="Normal 5 10" xfId="1255"/>
    <cellStyle name="Normal 5 11" xfId="1256"/>
    <cellStyle name="Normal 5 12" xfId="1257"/>
    <cellStyle name="Normal 5 2" xfId="1258"/>
    <cellStyle name="Normal 5 2 10" xfId="1259"/>
    <cellStyle name="Normal 5 2 2" xfId="1260"/>
    <cellStyle name="Normal 5 2 3" xfId="1261"/>
    <cellStyle name="Normal 5 2 4" xfId="1262"/>
    <cellStyle name="Normal 5 2 5" xfId="1263"/>
    <cellStyle name="Normal 5 2 6" xfId="1264"/>
    <cellStyle name="Normal 5 2 7" xfId="1265"/>
    <cellStyle name="Normal 5 2 8" xfId="1266"/>
    <cellStyle name="Normal 5 2 9" xfId="1267"/>
    <cellStyle name="Normal 5 3" xfId="1268"/>
    <cellStyle name="Normal 5 3 10" xfId="1269"/>
    <cellStyle name="Normal 5 3 2" xfId="1270"/>
    <cellStyle name="Normal 5 3 3" xfId="1271"/>
    <cellStyle name="Normal 5 3 4" xfId="1272"/>
    <cellStyle name="Normal 5 3 5" xfId="1273"/>
    <cellStyle name="Normal 5 3 6" xfId="1274"/>
    <cellStyle name="Normal 5 3 7" xfId="1275"/>
    <cellStyle name="Normal 5 3 8" xfId="1276"/>
    <cellStyle name="Normal 5 3 9" xfId="1277"/>
    <cellStyle name="Normal 5 4" xfId="1278"/>
    <cellStyle name="Normal 5 5" xfId="1279"/>
    <cellStyle name="Normal 5 6" xfId="1280"/>
    <cellStyle name="Normal 5 7" xfId="1281"/>
    <cellStyle name="Normal 5 8" xfId="1282"/>
    <cellStyle name="Normal 5 9" xfId="1283"/>
    <cellStyle name="Normal 5_ARQUITETURA_PA" xfId="1284"/>
    <cellStyle name="Normal 50" xfId="1285"/>
    <cellStyle name="Normal 50 10" xfId="1286"/>
    <cellStyle name="Normal 50 2" xfId="1287"/>
    <cellStyle name="Normal 50 3" xfId="1288"/>
    <cellStyle name="Normal 50 4" xfId="1289"/>
    <cellStyle name="Normal 50 5" xfId="1290"/>
    <cellStyle name="Normal 50 6" xfId="1291"/>
    <cellStyle name="Normal 50 7" xfId="1292"/>
    <cellStyle name="Normal 50 8" xfId="1293"/>
    <cellStyle name="Normal 50 9" xfId="1294"/>
    <cellStyle name="Normal 51" xfId="1295"/>
    <cellStyle name="Normal 51 10" xfId="1296"/>
    <cellStyle name="Normal 51 2" xfId="1297"/>
    <cellStyle name="Normal 51 3" xfId="1298"/>
    <cellStyle name="Normal 51 4" xfId="1299"/>
    <cellStyle name="Normal 51 5" xfId="1300"/>
    <cellStyle name="Normal 51 6" xfId="1301"/>
    <cellStyle name="Normal 51 7" xfId="1302"/>
    <cellStyle name="Normal 51 8" xfId="1303"/>
    <cellStyle name="Normal 51 9" xfId="1304"/>
    <cellStyle name="Normal 52" xfId="1305"/>
    <cellStyle name="Normal 52 10" xfId="1306"/>
    <cellStyle name="Normal 52 2" xfId="1307"/>
    <cellStyle name="Normal 52 3" xfId="1308"/>
    <cellStyle name="Normal 52 4" xfId="1309"/>
    <cellStyle name="Normal 52 5" xfId="1310"/>
    <cellStyle name="Normal 52 6" xfId="1311"/>
    <cellStyle name="Normal 52 7" xfId="1312"/>
    <cellStyle name="Normal 52 8" xfId="1313"/>
    <cellStyle name="Normal 52 9" xfId="1314"/>
    <cellStyle name="Normal 53" xfId="1315"/>
    <cellStyle name="Normal 53 10" xfId="1316"/>
    <cellStyle name="Normal 53 2" xfId="1317"/>
    <cellStyle name="Normal 53 3" xfId="1318"/>
    <cellStyle name="Normal 53 4" xfId="1319"/>
    <cellStyle name="Normal 53 5" xfId="1320"/>
    <cellStyle name="Normal 53 6" xfId="1321"/>
    <cellStyle name="Normal 53 7" xfId="1322"/>
    <cellStyle name="Normal 53 8" xfId="1323"/>
    <cellStyle name="Normal 53 9" xfId="1324"/>
    <cellStyle name="Normal 54" xfId="1325"/>
    <cellStyle name="Normal 54 10" xfId="1326"/>
    <cellStyle name="Normal 54 2" xfId="1327"/>
    <cellStyle name="Normal 54 3" xfId="1328"/>
    <cellStyle name="Normal 54 4" xfId="1329"/>
    <cellStyle name="Normal 54 5" xfId="1330"/>
    <cellStyle name="Normal 54 6" xfId="1331"/>
    <cellStyle name="Normal 54 7" xfId="1332"/>
    <cellStyle name="Normal 54 8" xfId="1333"/>
    <cellStyle name="Normal 54 9" xfId="1334"/>
    <cellStyle name="Normal 55" xfId="1335"/>
    <cellStyle name="Normal 55 10" xfId="1336"/>
    <cellStyle name="Normal 55 2" xfId="1337"/>
    <cellStyle name="Normal 55 3" xfId="1338"/>
    <cellStyle name="Normal 55 4" xfId="1339"/>
    <cellStyle name="Normal 55 5" xfId="1340"/>
    <cellStyle name="Normal 55 6" xfId="1341"/>
    <cellStyle name="Normal 55 7" xfId="1342"/>
    <cellStyle name="Normal 55 8" xfId="1343"/>
    <cellStyle name="Normal 55 9" xfId="1344"/>
    <cellStyle name="Normal 56" xfId="1345"/>
    <cellStyle name="Normal 56 10" xfId="1346"/>
    <cellStyle name="Normal 56 2" xfId="1347"/>
    <cellStyle name="Normal 56 3" xfId="1348"/>
    <cellStyle name="Normal 56 4" xfId="1349"/>
    <cellStyle name="Normal 56 5" xfId="1350"/>
    <cellStyle name="Normal 56 6" xfId="1351"/>
    <cellStyle name="Normal 56 7" xfId="1352"/>
    <cellStyle name="Normal 56 8" xfId="1353"/>
    <cellStyle name="Normal 56 9" xfId="1354"/>
    <cellStyle name="Normal 57" xfId="1355"/>
    <cellStyle name="Normal 57 10" xfId="1356"/>
    <cellStyle name="Normal 57 2" xfId="1357"/>
    <cellStyle name="Normal 57 3" xfId="1358"/>
    <cellStyle name="Normal 57 4" xfId="1359"/>
    <cellStyle name="Normal 57 5" xfId="1360"/>
    <cellStyle name="Normal 57 6" xfId="1361"/>
    <cellStyle name="Normal 57 7" xfId="1362"/>
    <cellStyle name="Normal 57 8" xfId="1363"/>
    <cellStyle name="Normal 57 9" xfId="1364"/>
    <cellStyle name="Normal 58" xfId="1365"/>
    <cellStyle name="Normal 58 10" xfId="1366"/>
    <cellStyle name="Normal 58 2" xfId="1367"/>
    <cellStyle name="Normal 58 3" xfId="1368"/>
    <cellStyle name="Normal 58 4" xfId="1369"/>
    <cellStyle name="Normal 58 5" xfId="1370"/>
    <cellStyle name="Normal 58 6" xfId="1371"/>
    <cellStyle name="Normal 58 7" xfId="1372"/>
    <cellStyle name="Normal 58 8" xfId="1373"/>
    <cellStyle name="Normal 58 9" xfId="1374"/>
    <cellStyle name="Normal 59" xfId="1375"/>
    <cellStyle name="Normal 59 10" xfId="1376"/>
    <cellStyle name="Normal 59 2" xfId="1377"/>
    <cellStyle name="Normal 59 3" xfId="1378"/>
    <cellStyle name="Normal 59 4" xfId="1379"/>
    <cellStyle name="Normal 59 5" xfId="1380"/>
    <cellStyle name="Normal 59 6" xfId="1381"/>
    <cellStyle name="Normal 59 7" xfId="1382"/>
    <cellStyle name="Normal 59 8" xfId="1383"/>
    <cellStyle name="Normal 59 9" xfId="1384"/>
    <cellStyle name="Normal 6" xfId="1385"/>
    <cellStyle name="Normal 6 10" xfId="1386"/>
    <cellStyle name="Normal 6 11" xfId="1387"/>
    <cellStyle name="Normal 6 12" xfId="1388"/>
    <cellStyle name="Normal 6 2" xfId="1389"/>
    <cellStyle name="Normal 6 2 10" xfId="1390"/>
    <cellStyle name="Normal 6 2 2" xfId="1391"/>
    <cellStyle name="Normal 6 2 3" xfId="1392"/>
    <cellStyle name="Normal 6 2 4" xfId="1393"/>
    <cellStyle name="Normal 6 2 5" xfId="1394"/>
    <cellStyle name="Normal 6 2 6" xfId="1395"/>
    <cellStyle name="Normal 6 2 7" xfId="1396"/>
    <cellStyle name="Normal 6 2 8" xfId="1397"/>
    <cellStyle name="Normal 6 2 9" xfId="1398"/>
    <cellStyle name="Normal 6 3" xfId="1399"/>
    <cellStyle name="Normal 6 3 10" xfId="1400"/>
    <cellStyle name="Normal 6 3 2" xfId="1401"/>
    <cellStyle name="Normal 6 3 3" xfId="1402"/>
    <cellStyle name="Normal 6 3 4" xfId="1403"/>
    <cellStyle name="Normal 6 3 5" xfId="1404"/>
    <cellStyle name="Normal 6 3 6" xfId="1405"/>
    <cellStyle name="Normal 6 3 7" xfId="1406"/>
    <cellStyle name="Normal 6 3 8" xfId="1407"/>
    <cellStyle name="Normal 6 3 9" xfId="1408"/>
    <cellStyle name="Normal 6 4" xfId="1409"/>
    <cellStyle name="Normal 6 4 2" xfId="11461"/>
    <cellStyle name="Normal 6 5" xfId="1410"/>
    <cellStyle name="Normal 6 6" xfId="1411"/>
    <cellStyle name="Normal 6 7" xfId="1412"/>
    <cellStyle name="Normal 6 8" xfId="1413"/>
    <cellStyle name="Normal 6 9" xfId="1414"/>
    <cellStyle name="Normal 6_ARQUITETURA_PA" xfId="1415"/>
    <cellStyle name="Normal 60" xfId="1416"/>
    <cellStyle name="Normal 60 10" xfId="1417"/>
    <cellStyle name="Normal 60 2" xfId="1418"/>
    <cellStyle name="Normal 60 3" xfId="1419"/>
    <cellStyle name="Normal 60 4" xfId="1420"/>
    <cellStyle name="Normal 60 5" xfId="1421"/>
    <cellStyle name="Normal 60 6" xfId="1422"/>
    <cellStyle name="Normal 60 7" xfId="1423"/>
    <cellStyle name="Normal 60 8" xfId="1424"/>
    <cellStyle name="Normal 60 9" xfId="1425"/>
    <cellStyle name="Normal 61" xfId="1426"/>
    <cellStyle name="Normal 61 10" xfId="1427"/>
    <cellStyle name="Normal 61 2" xfId="1428"/>
    <cellStyle name="Normal 61 3" xfId="1429"/>
    <cellStyle name="Normal 61 4" xfId="1430"/>
    <cellStyle name="Normal 61 5" xfId="1431"/>
    <cellStyle name="Normal 61 6" xfId="1432"/>
    <cellStyle name="Normal 61 7" xfId="1433"/>
    <cellStyle name="Normal 61 8" xfId="1434"/>
    <cellStyle name="Normal 61 9" xfId="1435"/>
    <cellStyle name="Normal 62" xfId="1436"/>
    <cellStyle name="Normal 62 10" xfId="1437"/>
    <cellStyle name="Normal 62 2" xfId="1438"/>
    <cellStyle name="Normal 62 3" xfId="1439"/>
    <cellStyle name="Normal 62 4" xfId="1440"/>
    <cellStyle name="Normal 62 5" xfId="1441"/>
    <cellStyle name="Normal 62 6" xfId="1442"/>
    <cellStyle name="Normal 62 7" xfId="1443"/>
    <cellStyle name="Normal 62 8" xfId="1444"/>
    <cellStyle name="Normal 62 9" xfId="1445"/>
    <cellStyle name="Normal 63" xfId="1446"/>
    <cellStyle name="Normal 63 2" xfId="1447"/>
    <cellStyle name="Normal 64" xfId="1448"/>
    <cellStyle name="Normal 64 2" xfId="11462"/>
    <cellStyle name="Normal 65" xfId="2797"/>
    <cellStyle name="Normal 7" xfId="1449"/>
    <cellStyle name="Normal 7 10" xfId="1450"/>
    <cellStyle name="Normal 7 11" xfId="1451"/>
    <cellStyle name="Normal 7 12" xfId="1452"/>
    <cellStyle name="Normal 7 2" xfId="1453"/>
    <cellStyle name="Normal 7 2 10" xfId="1454"/>
    <cellStyle name="Normal 7 2 2" xfId="1455"/>
    <cellStyle name="Normal 7 2 3" xfId="1456"/>
    <cellStyle name="Normal 7 2 4" xfId="1457"/>
    <cellStyle name="Normal 7 2 5" xfId="1458"/>
    <cellStyle name="Normal 7 2 6" xfId="1459"/>
    <cellStyle name="Normal 7 2 7" xfId="1460"/>
    <cellStyle name="Normal 7 2 8" xfId="1461"/>
    <cellStyle name="Normal 7 2 9" xfId="1462"/>
    <cellStyle name="Normal 7 3" xfId="1463"/>
    <cellStyle name="Normal 7 3 10" xfId="1464"/>
    <cellStyle name="Normal 7 3 2" xfId="1465"/>
    <cellStyle name="Normal 7 3 3" xfId="1466"/>
    <cellStyle name="Normal 7 3 4" xfId="1467"/>
    <cellStyle name="Normal 7 3 5" xfId="1468"/>
    <cellStyle name="Normal 7 3 6" xfId="1469"/>
    <cellStyle name="Normal 7 3 7" xfId="1470"/>
    <cellStyle name="Normal 7 3 8" xfId="1471"/>
    <cellStyle name="Normal 7 3 9" xfId="1472"/>
    <cellStyle name="Normal 7 4" xfId="1473"/>
    <cellStyle name="Normal 7 5" xfId="1474"/>
    <cellStyle name="Normal 7 6" xfId="1475"/>
    <cellStyle name="Normal 7 7" xfId="1476"/>
    <cellStyle name="Normal 7 8" xfId="1477"/>
    <cellStyle name="Normal 7 9" xfId="1478"/>
    <cellStyle name="Normal 8" xfId="1479"/>
    <cellStyle name="Normal 8 10" xfId="1480"/>
    <cellStyle name="Normal 8 11" xfId="1481"/>
    <cellStyle name="Normal 8 12" xfId="1482"/>
    <cellStyle name="Normal 8 2" xfId="1483"/>
    <cellStyle name="Normal 8 2 10" xfId="1484"/>
    <cellStyle name="Normal 8 2 2" xfId="1485"/>
    <cellStyle name="Normal 8 2 3" xfId="1486"/>
    <cellStyle name="Normal 8 2 4" xfId="1487"/>
    <cellStyle name="Normal 8 2 5" xfId="1488"/>
    <cellStyle name="Normal 8 2 6" xfId="1489"/>
    <cellStyle name="Normal 8 2 7" xfId="1490"/>
    <cellStyle name="Normal 8 2 8" xfId="1491"/>
    <cellStyle name="Normal 8 2 9" xfId="1492"/>
    <cellStyle name="Normal 8 3" xfId="1493"/>
    <cellStyle name="Normal 8 3 10" xfId="1494"/>
    <cellStyle name="Normal 8 3 2" xfId="1495"/>
    <cellStyle name="Normal 8 3 3" xfId="1496"/>
    <cellStyle name="Normal 8 3 4" xfId="1497"/>
    <cellStyle name="Normal 8 3 5" xfId="1498"/>
    <cellStyle name="Normal 8 3 6" xfId="1499"/>
    <cellStyle name="Normal 8 3 7" xfId="1500"/>
    <cellStyle name="Normal 8 3 8" xfId="1501"/>
    <cellStyle name="Normal 8 3 9" xfId="1502"/>
    <cellStyle name="Normal 8 4" xfId="1503"/>
    <cellStyle name="Normal 8 5" xfId="1504"/>
    <cellStyle name="Normal 8 6" xfId="1505"/>
    <cellStyle name="Normal 8 7" xfId="1506"/>
    <cellStyle name="Normal 8 8" xfId="1507"/>
    <cellStyle name="Normal 8 9" xfId="1508"/>
    <cellStyle name="Normal 8_ARQUITETURA_PA" xfId="1509"/>
    <cellStyle name="Normal 9" xfId="1510"/>
    <cellStyle name="Normal 9 10" xfId="1511"/>
    <cellStyle name="Normal 9 11" xfId="1512"/>
    <cellStyle name="Normal 9 12" xfId="1513"/>
    <cellStyle name="Normal 9 2" xfId="1514"/>
    <cellStyle name="Normal 9 2 10" xfId="1515"/>
    <cellStyle name="Normal 9 2 2" xfId="1516"/>
    <cellStyle name="Normal 9 2 3" xfId="1517"/>
    <cellStyle name="Normal 9 2 4" xfId="1518"/>
    <cellStyle name="Normal 9 2 5" xfId="1519"/>
    <cellStyle name="Normal 9 2 6" xfId="1520"/>
    <cellStyle name="Normal 9 2 7" xfId="1521"/>
    <cellStyle name="Normal 9 2 8" xfId="1522"/>
    <cellStyle name="Normal 9 2 9" xfId="1523"/>
    <cellStyle name="Normal 9 3" xfId="1524"/>
    <cellStyle name="Normal 9 3 10" xfId="1525"/>
    <cellStyle name="Normal 9 3 2" xfId="1526"/>
    <cellStyle name="Normal 9 3 3" xfId="1527"/>
    <cellStyle name="Normal 9 3 4" xfId="1528"/>
    <cellStyle name="Normal 9 3 5" xfId="1529"/>
    <cellStyle name="Normal 9 3 6" xfId="1530"/>
    <cellStyle name="Normal 9 3 7" xfId="1531"/>
    <cellStyle name="Normal 9 3 8" xfId="1532"/>
    <cellStyle name="Normal 9 3 9" xfId="1533"/>
    <cellStyle name="Normal 9 4" xfId="1534"/>
    <cellStyle name="Normal 9 4 2" xfId="11463"/>
    <cellStyle name="Normal 9 5" xfId="1535"/>
    <cellStyle name="Normal 9 6" xfId="1536"/>
    <cellStyle name="Normal 9 7" xfId="1537"/>
    <cellStyle name="Normal 9 8" xfId="1538"/>
    <cellStyle name="Normal 9 9" xfId="1539"/>
    <cellStyle name="Normal 9_ARQUITETURA_PA" xfId="1540"/>
    <cellStyle name="normal1" xfId="11464"/>
    <cellStyle name="normal1 2" xfId="11465"/>
    <cellStyle name="Normal2" xfId="11466"/>
    <cellStyle name="Normal2 2" xfId="11467"/>
    <cellStyle name="Normal2 3" xfId="11468"/>
    <cellStyle name="Normal2 4" xfId="11469"/>
    <cellStyle name="Nota 10" xfId="1541"/>
    <cellStyle name="Nota 10 2" xfId="11470"/>
    <cellStyle name="Nota 10 2 2" xfId="11471"/>
    <cellStyle name="Nota 10 3" xfId="11472"/>
    <cellStyle name="Nota 10 3 2" xfId="11473"/>
    <cellStyle name="Nota 10 4" xfId="11474"/>
    <cellStyle name="Nota 10 4 2" xfId="11475"/>
    <cellStyle name="Nota 10 5" xfId="11476"/>
    <cellStyle name="Nota 10 5 2" xfId="11477"/>
    <cellStyle name="Nota 11" xfId="1542"/>
    <cellStyle name="Nota 11 2" xfId="11478"/>
    <cellStyle name="Nota 11 2 2" xfId="11479"/>
    <cellStyle name="Nota 11 3" xfId="11480"/>
    <cellStyle name="Nota 11 3 2" xfId="11481"/>
    <cellStyle name="Nota 11 4" xfId="11482"/>
    <cellStyle name="Nota 11 4 2" xfId="11483"/>
    <cellStyle name="Nota 11 5" xfId="11484"/>
    <cellStyle name="Nota 11 5 2" xfId="11485"/>
    <cellStyle name="Nota 12" xfId="1543"/>
    <cellStyle name="Nota 12 2" xfId="11486"/>
    <cellStyle name="Nota 12 2 2" xfId="11487"/>
    <cellStyle name="Nota 12 3" xfId="11488"/>
    <cellStyle name="Nota 12 3 2" xfId="11489"/>
    <cellStyle name="Nota 12 4" xfId="11490"/>
    <cellStyle name="Nota 12 4 2" xfId="11491"/>
    <cellStyle name="Nota 12 5" xfId="11492"/>
    <cellStyle name="Nota 12 5 2" xfId="11493"/>
    <cellStyle name="Nota 13" xfId="11494"/>
    <cellStyle name="Nota 13 2" xfId="11495"/>
    <cellStyle name="Nota 13 2 2" xfId="11496"/>
    <cellStyle name="Nota 13 3" xfId="11497"/>
    <cellStyle name="Nota 13 3 2" xfId="11498"/>
    <cellStyle name="Nota 13 4" xfId="11499"/>
    <cellStyle name="Nota 13 4 2" xfId="11500"/>
    <cellStyle name="Nota 13 5" xfId="11501"/>
    <cellStyle name="Nota 13 5 2" xfId="11502"/>
    <cellStyle name="Nota 14" xfId="11503"/>
    <cellStyle name="Nota 14 2" xfId="11504"/>
    <cellStyle name="Nota 14 2 2" xfId="11505"/>
    <cellStyle name="Nota 14 3" xfId="11506"/>
    <cellStyle name="Nota 14 3 2" xfId="11507"/>
    <cellStyle name="Nota 14 4" xfId="11508"/>
    <cellStyle name="Nota 14 4 2" xfId="11509"/>
    <cellStyle name="Nota 14 5" xfId="11510"/>
    <cellStyle name="Nota 14 5 2" xfId="11511"/>
    <cellStyle name="Nota 15" xfId="11512"/>
    <cellStyle name="Nota 15 2" xfId="11513"/>
    <cellStyle name="Nota 15 2 2" xfId="11514"/>
    <cellStyle name="Nota 15 3" xfId="11515"/>
    <cellStyle name="Nota 15 3 2" xfId="11516"/>
    <cellStyle name="Nota 15 4" xfId="11517"/>
    <cellStyle name="Nota 15 4 2" xfId="11518"/>
    <cellStyle name="Nota 15 5" xfId="11519"/>
    <cellStyle name="Nota 15 5 2" xfId="11520"/>
    <cellStyle name="Nota 16" xfId="11521"/>
    <cellStyle name="Nota 16 2" xfId="11522"/>
    <cellStyle name="Nota 16 2 2" xfId="11523"/>
    <cellStyle name="Nota 16 3" xfId="11524"/>
    <cellStyle name="Nota 16 3 2" xfId="11525"/>
    <cellStyle name="Nota 16 4" xfId="11526"/>
    <cellStyle name="Nota 16 4 2" xfId="11527"/>
    <cellStyle name="Nota 16 5" xfId="11528"/>
    <cellStyle name="Nota 16 5 2" xfId="11529"/>
    <cellStyle name="Nota 17" xfId="11530"/>
    <cellStyle name="Nota 2" xfId="1544"/>
    <cellStyle name="Nota 2 10" xfId="11531"/>
    <cellStyle name="Nota 2 10 2" xfId="11532"/>
    <cellStyle name="Nota 2 11" xfId="11533"/>
    <cellStyle name="Nota 2 11 2" xfId="11534"/>
    <cellStyle name="Nota 2 12" xfId="11535"/>
    <cellStyle name="Nota 2 12 2" xfId="11536"/>
    <cellStyle name="Nota 2 2" xfId="1545"/>
    <cellStyle name="Nota 2 2 10" xfId="11537"/>
    <cellStyle name="Nota 2 2 10 2" xfId="11538"/>
    <cellStyle name="Nota 2 2 11" xfId="11539"/>
    <cellStyle name="Nota 2 2 11 2" xfId="11540"/>
    <cellStyle name="Nota 2 2 2" xfId="2303"/>
    <cellStyle name="Nota 2 2 2 2" xfId="2304"/>
    <cellStyle name="Nota 2 2 2 2 2" xfId="11541"/>
    <cellStyle name="Nota 2 2 2 2 2 2" xfId="11542"/>
    <cellStyle name="Nota 2 2 2 2 3" xfId="11543"/>
    <cellStyle name="Nota 2 2 2 2 3 2" xfId="11544"/>
    <cellStyle name="Nota 2 2 2 2 4" xfId="11545"/>
    <cellStyle name="Nota 2 2 2 2 4 2" xfId="11546"/>
    <cellStyle name="Nota 2 2 2 2 5" xfId="11547"/>
    <cellStyle name="Nota 2 2 2 2 5 2" xfId="11548"/>
    <cellStyle name="Nota 2 2 2 3" xfId="11549"/>
    <cellStyle name="Nota 2 2 2 3 2" xfId="11550"/>
    <cellStyle name="Nota 2 2 2 4" xfId="11551"/>
    <cellStyle name="Nota 2 2 2 4 2" xfId="11552"/>
    <cellStyle name="Nota 2 2 2 5" xfId="11553"/>
    <cellStyle name="Nota 2 2 2 5 2" xfId="11554"/>
    <cellStyle name="Nota 2 2 2 6" xfId="11555"/>
    <cellStyle name="Nota 2 2 2 6 2" xfId="11556"/>
    <cellStyle name="Nota 2 2 3" xfId="2305"/>
    <cellStyle name="Nota 2 2 3 2" xfId="2306"/>
    <cellStyle name="Nota 2 2 3 2 2" xfId="11557"/>
    <cellStyle name="Nota 2 2 3 2 2 2" xfId="11558"/>
    <cellStyle name="Nota 2 2 3 2 3" xfId="11559"/>
    <cellStyle name="Nota 2 2 3 2 3 2" xfId="11560"/>
    <cellStyle name="Nota 2 2 3 2 4" xfId="11561"/>
    <cellStyle name="Nota 2 2 3 2 4 2" xfId="11562"/>
    <cellStyle name="Nota 2 2 3 2 5" xfId="11563"/>
    <cellStyle name="Nota 2 2 3 2 5 2" xfId="11564"/>
    <cellStyle name="Nota 2 2 3 3" xfId="11565"/>
    <cellStyle name="Nota 2 2 3 3 2" xfId="11566"/>
    <cellStyle name="Nota 2 2 3 4" xfId="11567"/>
    <cellStyle name="Nota 2 2 3 4 2" xfId="11568"/>
    <cellStyle name="Nota 2 2 3 5" xfId="11569"/>
    <cellStyle name="Nota 2 2 3 5 2" xfId="11570"/>
    <cellStyle name="Nota 2 2 3 6" xfId="11571"/>
    <cellStyle name="Nota 2 2 3 6 2" xfId="11572"/>
    <cellStyle name="Nota 2 2 4" xfId="2307"/>
    <cellStyle name="Nota 2 2 4 2" xfId="2308"/>
    <cellStyle name="Nota 2 2 4 2 2" xfId="11573"/>
    <cellStyle name="Nota 2 2 4 2 2 2" xfId="11574"/>
    <cellStyle name="Nota 2 2 4 2 3" xfId="11575"/>
    <cellStyle name="Nota 2 2 4 2 3 2" xfId="11576"/>
    <cellStyle name="Nota 2 2 4 2 4" xfId="11577"/>
    <cellStyle name="Nota 2 2 4 2 4 2" xfId="11578"/>
    <cellStyle name="Nota 2 2 4 2 5" xfId="11579"/>
    <cellStyle name="Nota 2 2 4 2 5 2" xfId="11580"/>
    <cellStyle name="Nota 2 2 4 3" xfId="11581"/>
    <cellStyle name="Nota 2 2 4 3 2" xfId="11582"/>
    <cellStyle name="Nota 2 2 4 4" xfId="11583"/>
    <cellStyle name="Nota 2 2 4 4 2" xfId="11584"/>
    <cellStyle name="Nota 2 2 4 5" xfId="11585"/>
    <cellStyle name="Nota 2 2 4 5 2" xfId="11586"/>
    <cellStyle name="Nota 2 2 4 6" xfId="11587"/>
    <cellStyle name="Nota 2 2 4 6 2" xfId="11588"/>
    <cellStyle name="Nota 2 2 5" xfId="2309"/>
    <cellStyle name="Nota 2 2 5 2" xfId="2310"/>
    <cellStyle name="Nota 2 2 5 2 2" xfId="11589"/>
    <cellStyle name="Nota 2 2 5 2 2 2" xfId="11590"/>
    <cellStyle name="Nota 2 2 5 2 3" xfId="11591"/>
    <cellStyle name="Nota 2 2 5 2 3 2" xfId="11592"/>
    <cellStyle name="Nota 2 2 5 2 4" xfId="11593"/>
    <cellStyle name="Nota 2 2 5 2 4 2" xfId="11594"/>
    <cellStyle name="Nota 2 2 5 2 5" xfId="11595"/>
    <cellStyle name="Nota 2 2 5 2 5 2" xfId="11596"/>
    <cellStyle name="Nota 2 2 5 3" xfId="11597"/>
    <cellStyle name="Nota 2 2 5 3 2" xfId="11598"/>
    <cellStyle name="Nota 2 2 5 4" xfId="11599"/>
    <cellStyle name="Nota 2 2 5 4 2" xfId="11600"/>
    <cellStyle name="Nota 2 2 5 5" xfId="11601"/>
    <cellStyle name="Nota 2 2 5 5 2" xfId="11602"/>
    <cellStyle name="Nota 2 2 5 6" xfId="11603"/>
    <cellStyle name="Nota 2 2 5 6 2" xfId="11604"/>
    <cellStyle name="Nota 2 2 6" xfId="2311"/>
    <cellStyle name="Nota 2 2 6 2" xfId="2312"/>
    <cellStyle name="Nota 2 2 6 2 2" xfId="11605"/>
    <cellStyle name="Nota 2 2 6 2 2 2" xfId="11606"/>
    <cellStyle name="Nota 2 2 6 2 3" xfId="11607"/>
    <cellStyle name="Nota 2 2 6 2 3 2" xfId="11608"/>
    <cellStyle name="Nota 2 2 6 2 4" xfId="11609"/>
    <cellStyle name="Nota 2 2 6 2 4 2" xfId="11610"/>
    <cellStyle name="Nota 2 2 6 2 5" xfId="11611"/>
    <cellStyle name="Nota 2 2 6 2 5 2" xfId="11612"/>
    <cellStyle name="Nota 2 2 6 3" xfId="11613"/>
    <cellStyle name="Nota 2 2 6 3 2" xfId="11614"/>
    <cellStyle name="Nota 2 2 6 4" xfId="11615"/>
    <cellStyle name="Nota 2 2 6 4 2" xfId="11616"/>
    <cellStyle name="Nota 2 2 6 5" xfId="11617"/>
    <cellStyle name="Nota 2 2 6 5 2" xfId="11618"/>
    <cellStyle name="Nota 2 2 6 6" xfId="11619"/>
    <cellStyle name="Nota 2 2 6 6 2" xfId="11620"/>
    <cellStyle name="Nota 2 2 7" xfId="2313"/>
    <cellStyle name="Nota 2 2 7 2" xfId="11621"/>
    <cellStyle name="Nota 2 2 7 2 2" xfId="11622"/>
    <cellStyle name="Nota 2 2 7 3" xfId="11623"/>
    <cellStyle name="Nota 2 2 7 3 2" xfId="11624"/>
    <cellStyle name="Nota 2 2 7 4" xfId="11625"/>
    <cellStyle name="Nota 2 2 7 4 2" xfId="11626"/>
    <cellStyle name="Nota 2 2 7 5" xfId="11627"/>
    <cellStyle name="Nota 2 2 7 5 2" xfId="11628"/>
    <cellStyle name="Nota 2 2 8" xfId="11629"/>
    <cellStyle name="Nota 2 2 8 2" xfId="11630"/>
    <cellStyle name="Nota 2 2 9" xfId="11631"/>
    <cellStyle name="Nota 2 2 9 2" xfId="11632"/>
    <cellStyle name="Nota 2 3" xfId="1546"/>
    <cellStyle name="Nota 2 3 2" xfId="2314"/>
    <cellStyle name="Nota 2 3 2 2" xfId="11633"/>
    <cellStyle name="Nota 2 3 2 2 2" xfId="11634"/>
    <cellStyle name="Nota 2 3 2 3" xfId="11635"/>
    <cellStyle name="Nota 2 3 2 3 2" xfId="11636"/>
    <cellStyle name="Nota 2 3 2 4" xfId="11637"/>
    <cellStyle name="Nota 2 3 2 4 2" xfId="11638"/>
    <cellStyle name="Nota 2 3 2 5" xfId="11639"/>
    <cellStyle name="Nota 2 3 2 5 2" xfId="11640"/>
    <cellStyle name="Nota 2 3 3" xfId="11641"/>
    <cellStyle name="Nota 2 3 3 2" xfId="11642"/>
    <cellStyle name="Nota 2 3 4" xfId="11643"/>
    <cellStyle name="Nota 2 3 4 2" xfId="11644"/>
    <cellStyle name="Nota 2 3 5" xfId="11645"/>
    <cellStyle name="Nota 2 3 5 2" xfId="11646"/>
    <cellStyle name="Nota 2 3 6" xfId="11647"/>
    <cellStyle name="Nota 2 3 6 2" xfId="11648"/>
    <cellStyle name="Nota 2 4" xfId="1547"/>
    <cellStyle name="Nota 2 4 2" xfId="2315"/>
    <cellStyle name="Nota 2 4 2 2" xfId="11649"/>
    <cellStyle name="Nota 2 4 2 2 2" xfId="11650"/>
    <cellStyle name="Nota 2 4 2 3" xfId="11651"/>
    <cellStyle name="Nota 2 4 2 3 2" xfId="11652"/>
    <cellStyle name="Nota 2 4 2 4" xfId="11653"/>
    <cellStyle name="Nota 2 4 2 4 2" xfId="11654"/>
    <cellStyle name="Nota 2 4 2 5" xfId="11655"/>
    <cellStyle name="Nota 2 4 2 5 2" xfId="11656"/>
    <cellStyle name="Nota 2 4 3" xfId="11657"/>
    <cellStyle name="Nota 2 4 3 2" xfId="11658"/>
    <cellStyle name="Nota 2 4 4" xfId="11659"/>
    <cellStyle name="Nota 2 4 4 2" xfId="11660"/>
    <cellStyle name="Nota 2 4 5" xfId="11661"/>
    <cellStyle name="Nota 2 4 5 2" xfId="11662"/>
    <cellStyle name="Nota 2 4 6" xfId="11663"/>
    <cellStyle name="Nota 2 4 6 2" xfId="11664"/>
    <cellStyle name="Nota 2 5" xfId="1548"/>
    <cellStyle name="Nota 2 5 2" xfId="2316"/>
    <cellStyle name="Nota 2 5 2 2" xfId="11665"/>
    <cellStyle name="Nota 2 5 2 2 2" xfId="11666"/>
    <cellStyle name="Nota 2 5 2 3" xfId="11667"/>
    <cellStyle name="Nota 2 5 2 3 2" xfId="11668"/>
    <cellStyle name="Nota 2 5 2 4" xfId="11669"/>
    <cellStyle name="Nota 2 5 2 4 2" xfId="11670"/>
    <cellStyle name="Nota 2 5 2 5" xfId="11671"/>
    <cellStyle name="Nota 2 5 2 5 2" xfId="11672"/>
    <cellStyle name="Nota 2 5 3" xfId="11673"/>
    <cellStyle name="Nota 2 5 3 2" xfId="11674"/>
    <cellStyle name="Nota 2 5 4" xfId="11675"/>
    <cellStyle name="Nota 2 5 4 2" xfId="11676"/>
    <cellStyle name="Nota 2 5 5" xfId="11677"/>
    <cellStyle name="Nota 2 5 5 2" xfId="11678"/>
    <cellStyle name="Nota 2 5 6" xfId="11679"/>
    <cellStyle name="Nota 2 5 6 2" xfId="11680"/>
    <cellStyle name="Nota 2 6" xfId="1549"/>
    <cellStyle name="Nota 2 6 2" xfId="2317"/>
    <cellStyle name="Nota 2 6 2 2" xfId="11681"/>
    <cellStyle name="Nota 2 6 2 2 2" xfId="11682"/>
    <cellStyle name="Nota 2 6 2 3" xfId="11683"/>
    <cellStyle name="Nota 2 6 2 3 2" xfId="11684"/>
    <cellStyle name="Nota 2 6 2 4" xfId="11685"/>
    <cellStyle name="Nota 2 6 2 4 2" xfId="11686"/>
    <cellStyle name="Nota 2 6 2 5" xfId="11687"/>
    <cellStyle name="Nota 2 6 2 5 2" xfId="11688"/>
    <cellStyle name="Nota 2 6 3" xfId="11689"/>
    <cellStyle name="Nota 2 6 3 2" xfId="11690"/>
    <cellStyle name="Nota 2 6 4" xfId="11691"/>
    <cellStyle name="Nota 2 6 4 2" xfId="11692"/>
    <cellStyle name="Nota 2 6 5" xfId="11693"/>
    <cellStyle name="Nota 2 6 5 2" xfId="11694"/>
    <cellStyle name="Nota 2 6 6" xfId="11695"/>
    <cellStyle name="Nota 2 6 6 2" xfId="11696"/>
    <cellStyle name="Nota 2 7" xfId="2318"/>
    <cellStyle name="Nota 2 7 2" xfId="2319"/>
    <cellStyle name="Nota 2 7 2 2" xfId="11697"/>
    <cellStyle name="Nota 2 7 2 2 2" xfId="11698"/>
    <cellStyle name="Nota 2 7 2 3" xfId="11699"/>
    <cellStyle name="Nota 2 7 2 3 2" xfId="11700"/>
    <cellStyle name="Nota 2 7 2 4" xfId="11701"/>
    <cellStyle name="Nota 2 7 2 4 2" xfId="11702"/>
    <cellStyle name="Nota 2 7 2 5" xfId="11703"/>
    <cellStyle name="Nota 2 7 2 5 2" xfId="11704"/>
    <cellStyle name="Nota 2 7 3" xfId="11705"/>
    <cellStyle name="Nota 2 7 3 2" xfId="11706"/>
    <cellStyle name="Nota 2 7 4" xfId="11707"/>
    <cellStyle name="Nota 2 7 4 2" xfId="11708"/>
    <cellStyle name="Nota 2 7 5" xfId="11709"/>
    <cellStyle name="Nota 2 7 5 2" xfId="11710"/>
    <cellStyle name="Nota 2 7 6" xfId="11711"/>
    <cellStyle name="Nota 2 7 6 2" xfId="11712"/>
    <cellStyle name="Nota 2 8" xfId="2320"/>
    <cellStyle name="Nota 2 8 2" xfId="11713"/>
    <cellStyle name="Nota 2 8 2 2" xfId="11714"/>
    <cellStyle name="Nota 2 8 3" xfId="11715"/>
    <cellStyle name="Nota 2 8 3 2" xfId="11716"/>
    <cellStyle name="Nota 2 8 4" xfId="11717"/>
    <cellStyle name="Nota 2 8 4 2" xfId="11718"/>
    <cellStyle name="Nota 2 8 5" xfId="11719"/>
    <cellStyle name="Nota 2 8 5 2" xfId="11720"/>
    <cellStyle name="Nota 2 9" xfId="11721"/>
    <cellStyle name="Nota 2 9 2" xfId="11722"/>
    <cellStyle name="Nota 2_PIP" xfId="1550"/>
    <cellStyle name="Nota 3" xfId="1551"/>
    <cellStyle name="Nota 3 10" xfId="11723"/>
    <cellStyle name="Nota 3 10 2" xfId="11724"/>
    <cellStyle name="Nota 3 11" xfId="11725"/>
    <cellStyle name="Nota 3 11 2" xfId="11726"/>
    <cellStyle name="Nota 3 12" xfId="11727"/>
    <cellStyle name="Nota 3 12 2" xfId="11728"/>
    <cellStyle name="Nota 3 2" xfId="2321"/>
    <cellStyle name="Nota 3 2 10" xfId="11729"/>
    <cellStyle name="Nota 3 2 10 2" xfId="11730"/>
    <cellStyle name="Nota 3 2 11" xfId="11731"/>
    <cellStyle name="Nota 3 2 11 2" xfId="11732"/>
    <cellStyle name="Nota 3 2 2" xfId="2322"/>
    <cellStyle name="Nota 3 2 2 2" xfId="2323"/>
    <cellStyle name="Nota 3 2 2 2 2" xfId="11733"/>
    <cellStyle name="Nota 3 2 2 2 2 2" xfId="11734"/>
    <cellStyle name="Nota 3 2 2 2 3" xfId="11735"/>
    <cellStyle name="Nota 3 2 2 2 3 2" xfId="11736"/>
    <cellStyle name="Nota 3 2 2 2 4" xfId="11737"/>
    <cellStyle name="Nota 3 2 2 2 4 2" xfId="11738"/>
    <cellStyle name="Nota 3 2 2 2 5" xfId="11739"/>
    <cellStyle name="Nota 3 2 2 2 5 2" xfId="11740"/>
    <cellStyle name="Nota 3 2 2 3" xfId="11741"/>
    <cellStyle name="Nota 3 2 2 3 2" xfId="11742"/>
    <cellStyle name="Nota 3 2 2 4" xfId="11743"/>
    <cellStyle name="Nota 3 2 2 4 2" xfId="11744"/>
    <cellStyle name="Nota 3 2 2 5" xfId="11745"/>
    <cellStyle name="Nota 3 2 2 5 2" xfId="11746"/>
    <cellStyle name="Nota 3 2 2 6" xfId="11747"/>
    <cellStyle name="Nota 3 2 2 6 2" xfId="11748"/>
    <cellStyle name="Nota 3 2 3" xfId="2324"/>
    <cellStyle name="Nota 3 2 3 2" xfId="2325"/>
    <cellStyle name="Nota 3 2 3 2 2" xfId="11749"/>
    <cellStyle name="Nota 3 2 3 2 2 2" xfId="11750"/>
    <cellStyle name="Nota 3 2 3 2 3" xfId="11751"/>
    <cellStyle name="Nota 3 2 3 2 3 2" xfId="11752"/>
    <cellStyle name="Nota 3 2 3 2 4" xfId="11753"/>
    <cellStyle name="Nota 3 2 3 2 4 2" xfId="11754"/>
    <cellStyle name="Nota 3 2 3 2 5" xfId="11755"/>
    <cellStyle name="Nota 3 2 3 2 5 2" xfId="11756"/>
    <cellStyle name="Nota 3 2 3 3" xfId="11757"/>
    <cellStyle name="Nota 3 2 3 3 2" xfId="11758"/>
    <cellStyle name="Nota 3 2 3 4" xfId="11759"/>
    <cellStyle name="Nota 3 2 3 4 2" xfId="11760"/>
    <cellStyle name="Nota 3 2 3 5" xfId="11761"/>
    <cellStyle name="Nota 3 2 3 5 2" xfId="11762"/>
    <cellStyle name="Nota 3 2 3 6" xfId="11763"/>
    <cellStyle name="Nota 3 2 3 6 2" xfId="11764"/>
    <cellStyle name="Nota 3 2 4" xfId="2326"/>
    <cellStyle name="Nota 3 2 4 2" xfId="2327"/>
    <cellStyle name="Nota 3 2 4 2 2" xfId="11765"/>
    <cellStyle name="Nota 3 2 4 2 2 2" xfId="11766"/>
    <cellStyle name="Nota 3 2 4 2 3" xfId="11767"/>
    <cellStyle name="Nota 3 2 4 2 3 2" xfId="11768"/>
    <cellStyle name="Nota 3 2 4 2 4" xfId="11769"/>
    <cellStyle name="Nota 3 2 4 2 4 2" xfId="11770"/>
    <cellStyle name="Nota 3 2 4 2 5" xfId="11771"/>
    <cellStyle name="Nota 3 2 4 2 5 2" xfId="11772"/>
    <cellStyle name="Nota 3 2 4 3" xfId="11773"/>
    <cellStyle name="Nota 3 2 4 3 2" xfId="11774"/>
    <cellStyle name="Nota 3 2 4 4" xfId="11775"/>
    <cellStyle name="Nota 3 2 4 4 2" xfId="11776"/>
    <cellStyle name="Nota 3 2 4 5" xfId="11777"/>
    <cellStyle name="Nota 3 2 4 5 2" xfId="11778"/>
    <cellStyle name="Nota 3 2 4 6" xfId="11779"/>
    <cellStyle name="Nota 3 2 4 6 2" xfId="11780"/>
    <cellStyle name="Nota 3 2 5" xfId="2328"/>
    <cellStyle name="Nota 3 2 5 2" xfId="2329"/>
    <cellStyle name="Nota 3 2 5 2 2" xfId="11781"/>
    <cellStyle name="Nota 3 2 5 2 2 2" xfId="11782"/>
    <cellStyle name="Nota 3 2 5 2 3" xfId="11783"/>
    <cellStyle name="Nota 3 2 5 2 3 2" xfId="11784"/>
    <cellStyle name="Nota 3 2 5 2 4" xfId="11785"/>
    <cellStyle name="Nota 3 2 5 2 4 2" xfId="11786"/>
    <cellStyle name="Nota 3 2 5 2 5" xfId="11787"/>
    <cellStyle name="Nota 3 2 5 2 5 2" xfId="11788"/>
    <cellStyle name="Nota 3 2 5 3" xfId="11789"/>
    <cellStyle name="Nota 3 2 5 3 2" xfId="11790"/>
    <cellStyle name="Nota 3 2 5 4" xfId="11791"/>
    <cellStyle name="Nota 3 2 5 4 2" xfId="11792"/>
    <cellStyle name="Nota 3 2 5 5" xfId="11793"/>
    <cellStyle name="Nota 3 2 5 5 2" xfId="11794"/>
    <cellStyle name="Nota 3 2 5 6" xfId="11795"/>
    <cellStyle name="Nota 3 2 5 6 2" xfId="11796"/>
    <cellStyle name="Nota 3 2 6" xfId="2330"/>
    <cellStyle name="Nota 3 2 6 2" xfId="2331"/>
    <cellStyle name="Nota 3 2 6 2 2" xfId="11797"/>
    <cellStyle name="Nota 3 2 6 2 2 2" xfId="11798"/>
    <cellStyle name="Nota 3 2 6 2 3" xfId="11799"/>
    <cellStyle name="Nota 3 2 6 2 3 2" xfId="11800"/>
    <cellStyle name="Nota 3 2 6 2 4" xfId="11801"/>
    <cellStyle name="Nota 3 2 6 2 4 2" xfId="11802"/>
    <cellStyle name="Nota 3 2 6 2 5" xfId="11803"/>
    <cellStyle name="Nota 3 2 6 2 5 2" xfId="11804"/>
    <cellStyle name="Nota 3 2 6 3" xfId="11805"/>
    <cellStyle name="Nota 3 2 6 3 2" xfId="11806"/>
    <cellStyle name="Nota 3 2 6 4" xfId="11807"/>
    <cellStyle name="Nota 3 2 6 4 2" xfId="11808"/>
    <cellStyle name="Nota 3 2 6 5" xfId="11809"/>
    <cellStyle name="Nota 3 2 6 5 2" xfId="11810"/>
    <cellStyle name="Nota 3 2 6 6" xfId="11811"/>
    <cellStyle name="Nota 3 2 6 6 2" xfId="11812"/>
    <cellStyle name="Nota 3 2 7" xfId="2332"/>
    <cellStyle name="Nota 3 2 7 2" xfId="11813"/>
    <cellStyle name="Nota 3 2 7 2 2" xfId="11814"/>
    <cellStyle name="Nota 3 2 7 3" xfId="11815"/>
    <cellStyle name="Nota 3 2 7 3 2" xfId="11816"/>
    <cellStyle name="Nota 3 2 7 4" xfId="11817"/>
    <cellStyle name="Nota 3 2 7 4 2" xfId="11818"/>
    <cellStyle name="Nota 3 2 7 5" xfId="11819"/>
    <cellStyle name="Nota 3 2 7 5 2" xfId="11820"/>
    <cellStyle name="Nota 3 2 8" xfId="11821"/>
    <cellStyle name="Nota 3 2 8 2" xfId="11822"/>
    <cellStyle name="Nota 3 2 9" xfId="11823"/>
    <cellStyle name="Nota 3 2 9 2" xfId="11824"/>
    <cellStyle name="Nota 3 3" xfId="2333"/>
    <cellStyle name="Nota 3 3 2" xfId="2334"/>
    <cellStyle name="Nota 3 3 2 2" xfId="11825"/>
    <cellStyle name="Nota 3 3 2 2 2" xfId="11826"/>
    <cellStyle name="Nota 3 3 2 3" xfId="11827"/>
    <cellStyle name="Nota 3 3 2 3 2" xfId="11828"/>
    <cellStyle name="Nota 3 3 2 4" xfId="11829"/>
    <cellStyle name="Nota 3 3 2 4 2" xfId="11830"/>
    <cellStyle name="Nota 3 3 2 5" xfId="11831"/>
    <cellStyle name="Nota 3 3 2 5 2" xfId="11832"/>
    <cellStyle name="Nota 3 3 3" xfId="11833"/>
    <cellStyle name="Nota 3 3 3 2" xfId="11834"/>
    <cellStyle name="Nota 3 3 4" xfId="11835"/>
    <cellStyle name="Nota 3 3 4 2" xfId="11836"/>
    <cellStyle name="Nota 3 3 5" xfId="11837"/>
    <cellStyle name="Nota 3 3 5 2" xfId="11838"/>
    <cellStyle name="Nota 3 3 6" xfId="11839"/>
    <cellStyle name="Nota 3 3 6 2" xfId="11840"/>
    <cellStyle name="Nota 3 4" xfId="2335"/>
    <cellStyle name="Nota 3 4 2" xfId="2336"/>
    <cellStyle name="Nota 3 4 2 2" xfId="11841"/>
    <cellStyle name="Nota 3 4 2 2 2" xfId="11842"/>
    <cellStyle name="Nota 3 4 2 3" xfId="11843"/>
    <cellStyle name="Nota 3 4 2 3 2" xfId="11844"/>
    <cellStyle name="Nota 3 4 2 4" xfId="11845"/>
    <cellStyle name="Nota 3 4 2 4 2" xfId="11846"/>
    <cellStyle name="Nota 3 4 2 5" xfId="11847"/>
    <cellStyle name="Nota 3 4 2 5 2" xfId="11848"/>
    <cellStyle name="Nota 3 4 3" xfId="11849"/>
    <cellStyle name="Nota 3 4 3 2" xfId="11850"/>
    <cellStyle name="Nota 3 4 4" xfId="11851"/>
    <cellStyle name="Nota 3 4 4 2" xfId="11852"/>
    <cellStyle name="Nota 3 4 5" xfId="11853"/>
    <cellStyle name="Nota 3 4 5 2" xfId="11854"/>
    <cellStyle name="Nota 3 4 6" xfId="11855"/>
    <cellStyle name="Nota 3 4 6 2" xfId="11856"/>
    <cellStyle name="Nota 3 5" xfId="2337"/>
    <cellStyle name="Nota 3 5 2" xfId="2338"/>
    <cellStyle name="Nota 3 5 2 2" xfId="11857"/>
    <cellStyle name="Nota 3 5 2 2 2" xfId="11858"/>
    <cellStyle name="Nota 3 5 2 3" xfId="11859"/>
    <cellStyle name="Nota 3 5 2 3 2" xfId="11860"/>
    <cellStyle name="Nota 3 5 2 4" xfId="11861"/>
    <cellStyle name="Nota 3 5 2 4 2" xfId="11862"/>
    <cellStyle name="Nota 3 5 2 5" xfId="11863"/>
    <cellStyle name="Nota 3 5 2 5 2" xfId="11864"/>
    <cellStyle name="Nota 3 5 3" xfId="11865"/>
    <cellStyle name="Nota 3 5 3 2" xfId="11866"/>
    <cellStyle name="Nota 3 5 4" xfId="11867"/>
    <cellStyle name="Nota 3 5 4 2" xfId="11868"/>
    <cellStyle name="Nota 3 5 5" xfId="11869"/>
    <cellStyle name="Nota 3 5 5 2" xfId="11870"/>
    <cellStyle name="Nota 3 5 6" xfId="11871"/>
    <cellStyle name="Nota 3 5 6 2" xfId="11872"/>
    <cellStyle name="Nota 3 6" xfId="2339"/>
    <cellStyle name="Nota 3 6 2" xfId="2340"/>
    <cellStyle name="Nota 3 6 2 2" xfId="11873"/>
    <cellStyle name="Nota 3 6 2 2 2" xfId="11874"/>
    <cellStyle name="Nota 3 6 2 3" xfId="11875"/>
    <cellStyle name="Nota 3 6 2 3 2" xfId="11876"/>
    <cellStyle name="Nota 3 6 2 4" xfId="11877"/>
    <cellStyle name="Nota 3 6 2 4 2" xfId="11878"/>
    <cellStyle name="Nota 3 6 2 5" xfId="11879"/>
    <cellStyle name="Nota 3 6 2 5 2" xfId="11880"/>
    <cellStyle name="Nota 3 6 3" xfId="11881"/>
    <cellStyle name="Nota 3 6 3 2" xfId="11882"/>
    <cellStyle name="Nota 3 6 4" xfId="11883"/>
    <cellStyle name="Nota 3 6 4 2" xfId="11884"/>
    <cellStyle name="Nota 3 6 5" xfId="11885"/>
    <cellStyle name="Nota 3 6 5 2" xfId="11886"/>
    <cellStyle name="Nota 3 6 6" xfId="11887"/>
    <cellStyle name="Nota 3 6 6 2" xfId="11888"/>
    <cellStyle name="Nota 3 7" xfId="2341"/>
    <cellStyle name="Nota 3 7 2" xfId="2342"/>
    <cellStyle name="Nota 3 7 2 2" xfId="11889"/>
    <cellStyle name="Nota 3 7 2 2 2" xfId="11890"/>
    <cellStyle name="Nota 3 7 2 3" xfId="11891"/>
    <cellStyle name="Nota 3 7 2 3 2" xfId="11892"/>
    <cellStyle name="Nota 3 7 2 4" xfId="11893"/>
    <cellStyle name="Nota 3 7 2 4 2" xfId="11894"/>
    <cellStyle name="Nota 3 7 2 5" xfId="11895"/>
    <cellStyle name="Nota 3 7 2 5 2" xfId="11896"/>
    <cellStyle name="Nota 3 7 3" xfId="11897"/>
    <cellStyle name="Nota 3 7 3 2" xfId="11898"/>
    <cellStyle name="Nota 3 7 4" xfId="11899"/>
    <cellStyle name="Nota 3 7 4 2" xfId="11900"/>
    <cellStyle name="Nota 3 7 5" xfId="11901"/>
    <cellStyle name="Nota 3 7 5 2" xfId="11902"/>
    <cellStyle name="Nota 3 7 6" xfId="11903"/>
    <cellStyle name="Nota 3 7 6 2" xfId="11904"/>
    <cellStyle name="Nota 3 8" xfId="2343"/>
    <cellStyle name="Nota 3 8 2" xfId="11905"/>
    <cellStyle name="Nota 3 8 2 2" xfId="11906"/>
    <cellStyle name="Nota 3 8 3" xfId="11907"/>
    <cellStyle name="Nota 3 8 3 2" xfId="11908"/>
    <cellStyle name="Nota 3 8 4" xfId="11909"/>
    <cellStyle name="Nota 3 8 4 2" xfId="11910"/>
    <cellStyle name="Nota 3 8 5" xfId="11911"/>
    <cellStyle name="Nota 3 8 5 2" xfId="11912"/>
    <cellStyle name="Nota 3 9" xfId="11913"/>
    <cellStyle name="Nota 3 9 2" xfId="11914"/>
    <cellStyle name="Nota 4" xfId="1552"/>
    <cellStyle name="Nota 4 10" xfId="11915"/>
    <cellStyle name="Nota 4 10 2" xfId="11916"/>
    <cellStyle name="Nota 4 11" xfId="11917"/>
    <cellStyle name="Nota 4 11 2" xfId="11918"/>
    <cellStyle name="Nota 4 12" xfId="11919"/>
    <cellStyle name="Nota 4 12 2" xfId="11920"/>
    <cellStyle name="Nota 4 2" xfId="2344"/>
    <cellStyle name="Nota 4 2 10" xfId="11921"/>
    <cellStyle name="Nota 4 2 10 2" xfId="11922"/>
    <cellStyle name="Nota 4 2 11" xfId="11923"/>
    <cellStyle name="Nota 4 2 11 2" xfId="11924"/>
    <cellStyle name="Nota 4 2 2" xfId="2345"/>
    <cellStyle name="Nota 4 2 2 2" xfId="2346"/>
    <cellStyle name="Nota 4 2 2 2 2" xfId="11925"/>
    <cellStyle name="Nota 4 2 2 2 2 2" xfId="11926"/>
    <cellStyle name="Nota 4 2 2 2 3" xfId="11927"/>
    <cellStyle name="Nota 4 2 2 2 3 2" xfId="11928"/>
    <cellStyle name="Nota 4 2 2 2 4" xfId="11929"/>
    <cellStyle name="Nota 4 2 2 2 4 2" xfId="11930"/>
    <cellStyle name="Nota 4 2 2 2 5" xfId="11931"/>
    <cellStyle name="Nota 4 2 2 2 5 2" xfId="11932"/>
    <cellStyle name="Nota 4 2 2 3" xfId="11933"/>
    <cellStyle name="Nota 4 2 2 3 2" xfId="11934"/>
    <cellStyle name="Nota 4 2 2 4" xfId="11935"/>
    <cellStyle name="Nota 4 2 2 4 2" xfId="11936"/>
    <cellStyle name="Nota 4 2 2 5" xfId="11937"/>
    <cellStyle name="Nota 4 2 2 5 2" xfId="11938"/>
    <cellStyle name="Nota 4 2 2 6" xfId="11939"/>
    <cellStyle name="Nota 4 2 2 6 2" xfId="11940"/>
    <cellStyle name="Nota 4 2 3" xfId="2347"/>
    <cellStyle name="Nota 4 2 3 2" xfId="2348"/>
    <cellStyle name="Nota 4 2 3 2 2" xfId="11941"/>
    <cellStyle name="Nota 4 2 3 2 2 2" xfId="11942"/>
    <cellStyle name="Nota 4 2 3 2 3" xfId="11943"/>
    <cellStyle name="Nota 4 2 3 2 3 2" xfId="11944"/>
    <cellStyle name="Nota 4 2 3 2 4" xfId="11945"/>
    <cellStyle name="Nota 4 2 3 2 4 2" xfId="11946"/>
    <cellStyle name="Nota 4 2 3 2 5" xfId="11947"/>
    <cellStyle name="Nota 4 2 3 2 5 2" xfId="11948"/>
    <cellStyle name="Nota 4 2 3 3" xfId="11949"/>
    <cellStyle name="Nota 4 2 3 3 2" xfId="11950"/>
    <cellStyle name="Nota 4 2 3 4" xfId="11951"/>
    <cellStyle name="Nota 4 2 3 4 2" xfId="11952"/>
    <cellStyle name="Nota 4 2 3 5" xfId="11953"/>
    <cellStyle name="Nota 4 2 3 5 2" xfId="11954"/>
    <cellStyle name="Nota 4 2 3 6" xfId="11955"/>
    <cellStyle name="Nota 4 2 3 6 2" xfId="11956"/>
    <cellStyle name="Nota 4 2 4" xfId="2349"/>
    <cellStyle name="Nota 4 2 4 2" xfId="2350"/>
    <cellStyle name="Nota 4 2 4 2 2" xfId="11957"/>
    <cellStyle name="Nota 4 2 4 2 2 2" xfId="11958"/>
    <cellStyle name="Nota 4 2 4 2 3" xfId="11959"/>
    <cellStyle name="Nota 4 2 4 2 3 2" xfId="11960"/>
    <cellStyle name="Nota 4 2 4 2 4" xfId="11961"/>
    <cellStyle name="Nota 4 2 4 2 4 2" xfId="11962"/>
    <cellStyle name="Nota 4 2 4 2 5" xfId="11963"/>
    <cellStyle name="Nota 4 2 4 2 5 2" xfId="11964"/>
    <cellStyle name="Nota 4 2 4 3" xfId="11965"/>
    <cellStyle name="Nota 4 2 4 3 2" xfId="11966"/>
    <cellStyle name="Nota 4 2 4 4" xfId="11967"/>
    <cellStyle name="Nota 4 2 4 4 2" xfId="11968"/>
    <cellStyle name="Nota 4 2 4 5" xfId="11969"/>
    <cellStyle name="Nota 4 2 4 5 2" xfId="11970"/>
    <cellStyle name="Nota 4 2 4 6" xfId="11971"/>
    <cellStyle name="Nota 4 2 4 6 2" xfId="11972"/>
    <cellStyle name="Nota 4 2 5" xfId="2351"/>
    <cellStyle name="Nota 4 2 5 2" xfId="2352"/>
    <cellStyle name="Nota 4 2 5 2 2" xfId="11973"/>
    <cellStyle name="Nota 4 2 5 2 2 2" xfId="11974"/>
    <cellStyle name="Nota 4 2 5 2 3" xfId="11975"/>
    <cellStyle name="Nota 4 2 5 2 3 2" xfId="11976"/>
    <cellStyle name="Nota 4 2 5 2 4" xfId="11977"/>
    <cellStyle name="Nota 4 2 5 2 4 2" xfId="11978"/>
    <cellStyle name="Nota 4 2 5 2 5" xfId="11979"/>
    <cellStyle name="Nota 4 2 5 2 5 2" xfId="11980"/>
    <cellStyle name="Nota 4 2 5 3" xfId="11981"/>
    <cellStyle name="Nota 4 2 5 3 2" xfId="11982"/>
    <cellStyle name="Nota 4 2 5 4" xfId="11983"/>
    <cellStyle name="Nota 4 2 5 4 2" xfId="11984"/>
    <cellStyle name="Nota 4 2 5 5" xfId="11985"/>
    <cellStyle name="Nota 4 2 5 5 2" xfId="11986"/>
    <cellStyle name="Nota 4 2 5 6" xfId="11987"/>
    <cellStyle name="Nota 4 2 5 6 2" xfId="11988"/>
    <cellStyle name="Nota 4 2 6" xfId="2353"/>
    <cellStyle name="Nota 4 2 6 2" xfId="2354"/>
    <cellStyle name="Nota 4 2 6 2 2" xfId="11989"/>
    <cellStyle name="Nota 4 2 6 2 2 2" xfId="11990"/>
    <cellStyle name="Nota 4 2 6 2 3" xfId="11991"/>
    <cellStyle name="Nota 4 2 6 2 3 2" xfId="11992"/>
    <cellStyle name="Nota 4 2 6 2 4" xfId="11993"/>
    <cellStyle name="Nota 4 2 6 2 4 2" xfId="11994"/>
    <cellStyle name="Nota 4 2 6 2 5" xfId="11995"/>
    <cellStyle name="Nota 4 2 6 2 5 2" xfId="11996"/>
    <cellStyle name="Nota 4 2 6 3" xfId="11997"/>
    <cellStyle name="Nota 4 2 6 3 2" xfId="11998"/>
    <cellStyle name="Nota 4 2 6 4" xfId="11999"/>
    <cellStyle name="Nota 4 2 6 4 2" xfId="12000"/>
    <cellStyle name="Nota 4 2 6 5" xfId="12001"/>
    <cellStyle name="Nota 4 2 6 5 2" xfId="12002"/>
    <cellStyle name="Nota 4 2 6 6" xfId="12003"/>
    <cellStyle name="Nota 4 2 6 6 2" xfId="12004"/>
    <cellStyle name="Nota 4 2 7" xfId="2355"/>
    <cellStyle name="Nota 4 2 7 2" xfId="12005"/>
    <cellStyle name="Nota 4 2 7 2 2" xfId="12006"/>
    <cellStyle name="Nota 4 2 7 3" xfId="12007"/>
    <cellStyle name="Nota 4 2 7 3 2" xfId="12008"/>
    <cellStyle name="Nota 4 2 7 4" xfId="12009"/>
    <cellStyle name="Nota 4 2 7 4 2" xfId="12010"/>
    <cellStyle name="Nota 4 2 7 5" xfId="12011"/>
    <cellStyle name="Nota 4 2 7 5 2" xfId="12012"/>
    <cellStyle name="Nota 4 2 8" xfId="12013"/>
    <cellStyle name="Nota 4 2 8 2" xfId="12014"/>
    <cellStyle name="Nota 4 2 9" xfId="12015"/>
    <cellStyle name="Nota 4 2 9 2" xfId="12016"/>
    <cellStyle name="Nota 4 3" xfId="2356"/>
    <cellStyle name="Nota 4 3 2" xfId="2357"/>
    <cellStyle name="Nota 4 3 2 2" xfId="12017"/>
    <cellStyle name="Nota 4 3 2 2 2" xfId="12018"/>
    <cellStyle name="Nota 4 3 2 3" xfId="12019"/>
    <cellStyle name="Nota 4 3 2 3 2" xfId="12020"/>
    <cellStyle name="Nota 4 3 2 4" xfId="12021"/>
    <cellStyle name="Nota 4 3 2 4 2" xfId="12022"/>
    <cellStyle name="Nota 4 3 2 5" xfId="12023"/>
    <cellStyle name="Nota 4 3 2 5 2" xfId="12024"/>
    <cellStyle name="Nota 4 3 3" xfId="12025"/>
    <cellStyle name="Nota 4 3 3 2" xfId="12026"/>
    <cellStyle name="Nota 4 3 4" xfId="12027"/>
    <cellStyle name="Nota 4 3 4 2" xfId="12028"/>
    <cellStyle name="Nota 4 3 5" xfId="12029"/>
    <cellStyle name="Nota 4 3 5 2" xfId="12030"/>
    <cellStyle name="Nota 4 3 6" xfId="12031"/>
    <cellStyle name="Nota 4 3 6 2" xfId="12032"/>
    <cellStyle name="Nota 4 4" xfId="2358"/>
    <cellStyle name="Nota 4 4 2" xfId="2359"/>
    <cellStyle name="Nota 4 4 2 2" xfId="12033"/>
    <cellStyle name="Nota 4 4 2 2 2" xfId="12034"/>
    <cellStyle name="Nota 4 4 2 3" xfId="12035"/>
    <cellStyle name="Nota 4 4 2 3 2" xfId="12036"/>
    <cellStyle name="Nota 4 4 2 4" xfId="12037"/>
    <cellStyle name="Nota 4 4 2 4 2" xfId="12038"/>
    <cellStyle name="Nota 4 4 2 5" xfId="12039"/>
    <cellStyle name="Nota 4 4 2 5 2" xfId="12040"/>
    <cellStyle name="Nota 4 4 3" xfId="12041"/>
    <cellStyle name="Nota 4 4 3 2" xfId="12042"/>
    <cellStyle name="Nota 4 4 4" xfId="12043"/>
    <cellStyle name="Nota 4 4 4 2" xfId="12044"/>
    <cellStyle name="Nota 4 4 5" xfId="12045"/>
    <cellStyle name="Nota 4 4 5 2" xfId="12046"/>
    <cellStyle name="Nota 4 4 6" xfId="12047"/>
    <cellStyle name="Nota 4 4 6 2" xfId="12048"/>
    <cellStyle name="Nota 4 5" xfId="2360"/>
    <cellStyle name="Nota 4 5 2" xfId="2361"/>
    <cellStyle name="Nota 4 5 2 2" xfId="12049"/>
    <cellStyle name="Nota 4 5 2 2 2" xfId="12050"/>
    <cellStyle name="Nota 4 5 2 3" xfId="12051"/>
    <cellStyle name="Nota 4 5 2 3 2" xfId="12052"/>
    <cellStyle name="Nota 4 5 2 4" xfId="12053"/>
    <cellStyle name="Nota 4 5 2 4 2" xfId="12054"/>
    <cellStyle name="Nota 4 5 2 5" xfId="12055"/>
    <cellStyle name="Nota 4 5 2 5 2" xfId="12056"/>
    <cellStyle name="Nota 4 5 3" xfId="12057"/>
    <cellStyle name="Nota 4 5 3 2" xfId="12058"/>
    <cellStyle name="Nota 4 5 4" xfId="12059"/>
    <cellStyle name="Nota 4 5 4 2" xfId="12060"/>
    <cellStyle name="Nota 4 5 5" xfId="12061"/>
    <cellStyle name="Nota 4 5 5 2" xfId="12062"/>
    <cellStyle name="Nota 4 5 6" xfId="12063"/>
    <cellStyle name="Nota 4 5 6 2" xfId="12064"/>
    <cellStyle name="Nota 4 6" xfId="2362"/>
    <cellStyle name="Nota 4 6 2" xfId="2363"/>
    <cellStyle name="Nota 4 6 2 2" xfId="12065"/>
    <cellStyle name="Nota 4 6 2 2 2" xfId="12066"/>
    <cellStyle name="Nota 4 6 2 3" xfId="12067"/>
    <cellStyle name="Nota 4 6 2 3 2" xfId="12068"/>
    <cellStyle name="Nota 4 6 2 4" xfId="12069"/>
    <cellStyle name="Nota 4 6 2 4 2" xfId="12070"/>
    <cellStyle name="Nota 4 6 2 5" xfId="12071"/>
    <cellStyle name="Nota 4 6 2 5 2" xfId="12072"/>
    <cellStyle name="Nota 4 6 3" xfId="12073"/>
    <cellStyle name="Nota 4 6 3 2" xfId="12074"/>
    <cellStyle name="Nota 4 6 4" xfId="12075"/>
    <cellStyle name="Nota 4 6 4 2" xfId="12076"/>
    <cellStyle name="Nota 4 6 5" xfId="12077"/>
    <cellStyle name="Nota 4 6 5 2" xfId="12078"/>
    <cellStyle name="Nota 4 6 6" xfId="12079"/>
    <cellStyle name="Nota 4 6 6 2" xfId="12080"/>
    <cellStyle name="Nota 4 7" xfId="2364"/>
    <cellStyle name="Nota 4 7 2" xfId="2365"/>
    <cellStyle name="Nota 4 7 2 2" xfId="12081"/>
    <cellStyle name="Nota 4 7 2 2 2" xfId="12082"/>
    <cellStyle name="Nota 4 7 2 3" xfId="12083"/>
    <cellStyle name="Nota 4 7 2 3 2" xfId="12084"/>
    <cellStyle name="Nota 4 7 2 4" xfId="12085"/>
    <cellStyle name="Nota 4 7 2 4 2" xfId="12086"/>
    <cellStyle name="Nota 4 7 2 5" xfId="12087"/>
    <cellStyle name="Nota 4 7 2 5 2" xfId="12088"/>
    <cellStyle name="Nota 4 7 3" xfId="12089"/>
    <cellStyle name="Nota 4 7 3 2" xfId="12090"/>
    <cellStyle name="Nota 4 7 4" xfId="12091"/>
    <cellStyle name="Nota 4 7 4 2" xfId="12092"/>
    <cellStyle name="Nota 4 7 5" xfId="12093"/>
    <cellStyle name="Nota 4 7 5 2" xfId="12094"/>
    <cellStyle name="Nota 4 7 6" xfId="12095"/>
    <cellStyle name="Nota 4 7 6 2" xfId="12096"/>
    <cellStyle name="Nota 4 8" xfId="2366"/>
    <cellStyle name="Nota 4 8 2" xfId="12097"/>
    <cellStyle name="Nota 4 8 2 2" xfId="12098"/>
    <cellStyle name="Nota 4 8 3" xfId="12099"/>
    <cellStyle name="Nota 4 8 3 2" xfId="12100"/>
    <cellStyle name="Nota 4 8 4" xfId="12101"/>
    <cellStyle name="Nota 4 8 4 2" xfId="12102"/>
    <cellStyle name="Nota 4 8 5" xfId="12103"/>
    <cellStyle name="Nota 4 8 5 2" xfId="12104"/>
    <cellStyle name="Nota 4 9" xfId="12105"/>
    <cellStyle name="Nota 4 9 2" xfId="12106"/>
    <cellStyle name="Nota 5" xfId="1553"/>
    <cellStyle name="Nota 5 10" xfId="12107"/>
    <cellStyle name="Nota 5 10 2" xfId="12108"/>
    <cellStyle name="Nota 5 11" xfId="12109"/>
    <cellStyle name="Nota 5 11 2" xfId="12110"/>
    <cellStyle name="Nota 5 12" xfId="12111"/>
    <cellStyle name="Nota 5 12 2" xfId="12112"/>
    <cellStyle name="Nota 5 2" xfId="2367"/>
    <cellStyle name="Nota 5 2 10" xfId="12113"/>
    <cellStyle name="Nota 5 2 10 2" xfId="12114"/>
    <cellStyle name="Nota 5 2 11" xfId="12115"/>
    <cellStyle name="Nota 5 2 11 2" xfId="12116"/>
    <cellStyle name="Nota 5 2 2" xfId="2368"/>
    <cellStyle name="Nota 5 2 2 2" xfId="2369"/>
    <cellStyle name="Nota 5 2 2 2 2" xfId="12117"/>
    <cellStyle name="Nota 5 2 2 2 2 2" xfId="12118"/>
    <cellStyle name="Nota 5 2 2 2 3" xfId="12119"/>
    <cellStyle name="Nota 5 2 2 2 3 2" xfId="12120"/>
    <cellStyle name="Nota 5 2 2 2 4" xfId="12121"/>
    <cellStyle name="Nota 5 2 2 2 4 2" xfId="12122"/>
    <cellStyle name="Nota 5 2 2 2 5" xfId="12123"/>
    <cellStyle name="Nota 5 2 2 2 5 2" xfId="12124"/>
    <cellStyle name="Nota 5 2 2 3" xfId="12125"/>
    <cellStyle name="Nota 5 2 2 3 2" xfId="12126"/>
    <cellStyle name="Nota 5 2 2 4" xfId="12127"/>
    <cellStyle name="Nota 5 2 2 4 2" xfId="12128"/>
    <cellStyle name="Nota 5 2 2 5" xfId="12129"/>
    <cellStyle name="Nota 5 2 2 5 2" xfId="12130"/>
    <cellStyle name="Nota 5 2 2 6" xfId="12131"/>
    <cellStyle name="Nota 5 2 2 6 2" xfId="12132"/>
    <cellStyle name="Nota 5 2 3" xfId="2370"/>
    <cellStyle name="Nota 5 2 3 2" xfId="2371"/>
    <cellStyle name="Nota 5 2 3 2 2" xfId="12133"/>
    <cellStyle name="Nota 5 2 3 2 2 2" xfId="12134"/>
    <cellStyle name="Nota 5 2 3 2 3" xfId="12135"/>
    <cellStyle name="Nota 5 2 3 2 3 2" xfId="12136"/>
    <cellStyle name="Nota 5 2 3 2 4" xfId="12137"/>
    <cellStyle name="Nota 5 2 3 2 4 2" xfId="12138"/>
    <cellStyle name="Nota 5 2 3 2 5" xfId="12139"/>
    <cellStyle name="Nota 5 2 3 2 5 2" xfId="12140"/>
    <cellStyle name="Nota 5 2 3 3" xfId="12141"/>
    <cellStyle name="Nota 5 2 3 3 2" xfId="12142"/>
    <cellStyle name="Nota 5 2 3 4" xfId="12143"/>
    <cellStyle name="Nota 5 2 3 4 2" xfId="12144"/>
    <cellStyle name="Nota 5 2 3 5" xfId="12145"/>
    <cellStyle name="Nota 5 2 3 5 2" xfId="12146"/>
    <cellStyle name="Nota 5 2 3 6" xfId="12147"/>
    <cellStyle name="Nota 5 2 3 6 2" xfId="12148"/>
    <cellStyle name="Nota 5 2 4" xfId="2372"/>
    <cellStyle name="Nota 5 2 4 2" xfId="2373"/>
    <cellStyle name="Nota 5 2 4 2 2" xfId="12149"/>
    <cellStyle name="Nota 5 2 4 2 2 2" xfId="12150"/>
    <cellStyle name="Nota 5 2 4 2 3" xfId="12151"/>
    <cellStyle name="Nota 5 2 4 2 3 2" xfId="12152"/>
    <cellStyle name="Nota 5 2 4 2 4" xfId="12153"/>
    <cellStyle name="Nota 5 2 4 2 4 2" xfId="12154"/>
    <cellStyle name="Nota 5 2 4 2 5" xfId="12155"/>
    <cellStyle name="Nota 5 2 4 2 5 2" xfId="12156"/>
    <cellStyle name="Nota 5 2 4 3" xfId="12157"/>
    <cellStyle name="Nota 5 2 4 3 2" xfId="12158"/>
    <cellStyle name="Nota 5 2 4 4" xfId="12159"/>
    <cellStyle name="Nota 5 2 4 4 2" xfId="12160"/>
    <cellStyle name="Nota 5 2 4 5" xfId="12161"/>
    <cellStyle name="Nota 5 2 4 5 2" xfId="12162"/>
    <cellStyle name="Nota 5 2 4 6" xfId="12163"/>
    <cellStyle name="Nota 5 2 4 6 2" xfId="12164"/>
    <cellStyle name="Nota 5 2 5" xfId="2374"/>
    <cellStyle name="Nota 5 2 5 2" xfId="2375"/>
    <cellStyle name="Nota 5 2 5 2 2" xfId="12165"/>
    <cellStyle name="Nota 5 2 5 2 2 2" xfId="12166"/>
    <cellStyle name="Nota 5 2 5 2 3" xfId="12167"/>
    <cellStyle name="Nota 5 2 5 2 3 2" xfId="12168"/>
    <cellStyle name="Nota 5 2 5 2 4" xfId="12169"/>
    <cellStyle name="Nota 5 2 5 2 4 2" xfId="12170"/>
    <cellStyle name="Nota 5 2 5 2 5" xfId="12171"/>
    <cellStyle name="Nota 5 2 5 2 5 2" xfId="12172"/>
    <cellStyle name="Nota 5 2 5 3" xfId="12173"/>
    <cellStyle name="Nota 5 2 5 3 2" xfId="12174"/>
    <cellStyle name="Nota 5 2 5 4" xfId="12175"/>
    <cellStyle name="Nota 5 2 5 4 2" xfId="12176"/>
    <cellStyle name="Nota 5 2 5 5" xfId="12177"/>
    <cellStyle name="Nota 5 2 5 5 2" xfId="12178"/>
    <cellStyle name="Nota 5 2 5 6" xfId="12179"/>
    <cellStyle name="Nota 5 2 5 6 2" xfId="12180"/>
    <cellStyle name="Nota 5 2 6" xfId="2376"/>
    <cellStyle name="Nota 5 2 6 2" xfId="2377"/>
    <cellStyle name="Nota 5 2 6 2 2" xfId="12181"/>
    <cellStyle name="Nota 5 2 6 2 2 2" xfId="12182"/>
    <cellStyle name="Nota 5 2 6 2 3" xfId="12183"/>
    <cellStyle name="Nota 5 2 6 2 3 2" xfId="12184"/>
    <cellStyle name="Nota 5 2 6 2 4" xfId="12185"/>
    <cellStyle name="Nota 5 2 6 2 4 2" xfId="12186"/>
    <cellStyle name="Nota 5 2 6 2 5" xfId="12187"/>
    <cellStyle name="Nota 5 2 6 2 5 2" xfId="12188"/>
    <cellStyle name="Nota 5 2 6 3" xfId="12189"/>
    <cellStyle name="Nota 5 2 6 3 2" xfId="12190"/>
    <cellStyle name="Nota 5 2 6 4" xfId="12191"/>
    <cellStyle name="Nota 5 2 6 4 2" xfId="12192"/>
    <cellStyle name="Nota 5 2 6 5" xfId="12193"/>
    <cellStyle name="Nota 5 2 6 5 2" xfId="12194"/>
    <cellStyle name="Nota 5 2 6 6" xfId="12195"/>
    <cellStyle name="Nota 5 2 6 6 2" xfId="12196"/>
    <cellStyle name="Nota 5 2 7" xfId="2378"/>
    <cellStyle name="Nota 5 2 7 2" xfId="12197"/>
    <cellStyle name="Nota 5 2 7 2 2" xfId="12198"/>
    <cellStyle name="Nota 5 2 7 3" xfId="12199"/>
    <cellStyle name="Nota 5 2 7 3 2" xfId="12200"/>
    <cellStyle name="Nota 5 2 7 4" xfId="12201"/>
    <cellStyle name="Nota 5 2 7 4 2" xfId="12202"/>
    <cellStyle name="Nota 5 2 7 5" xfId="12203"/>
    <cellStyle name="Nota 5 2 7 5 2" xfId="12204"/>
    <cellStyle name="Nota 5 2 8" xfId="12205"/>
    <cellStyle name="Nota 5 2 8 2" xfId="12206"/>
    <cellStyle name="Nota 5 2 9" xfId="12207"/>
    <cellStyle name="Nota 5 2 9 2" xfId="12208"/>
    <cellStyle name="Nota 5 3" xfId="2379"/>
    <cellStyle name="Nota 5 3 2" xfId="2380"/>
    <cellStyle name="Nota 5 3 2 2" xfId="12209"/>
    <cellStyle name="Nota 5 3 2 2 2" xfId="12210"/>
    <cellStyle name="Nota 5 3 2 3" xfId="12211"/>
    <cellStyle name="Nota 5 3 2 3 2" xfId="12212"/>
    <cellStyle name="Nota 5 3 2 4" xfId="12213"/>
    <cellStyle name="Nota 5 3 2 4 2" xfId="12214"/>
    <cellStyle name="Nota 5 3 2 5" xfId="12215"/>
    <cellStyle name="Nota 5 3 2 5 2" xfId="12216"/>
    <cellStyle name="Nota 5 3 3" xfId="12217"/>
    <cellStyle name="Nota 5 3 3 2" xfId="12218"/>
    <cellStyle name="Nota 5 3 4" xfId="12219"/>
    <cellStyle name="Nota 5 3 4 2" xfId="12220"/>
    <cellStyle name="Nota 5 3 5" xfId="12221"/>
    <cellStyle name="Nota 5 3 5 2" xfId="12222"/>
    <cellStyle name="Nota 5 3 6" xfId="12223"/>
    <cellStyle name="Nota 5 3 6 2" xfId="12224"/>
    <cellStyle name="Nota 5 4" xfId="2381"/>
    <cellStyle name="Nota 5 4 2" xfId="2382"/>
    <cellStyle name="Nota 5 4 2 2" xfId="12225"/>
    <cellStyle name="Nota 5 4 2 2 2" xfId="12226"/>
    <cellStyle name="Nota 5 4 2 3" xfId="12227"/>
    <cellStyle name="Nota 5 4 2 3 2" xfId="12228"/>
    <cellStyle name="Nota 5 4 2 4" xfId="12229"/>
    <cellStyle name="Nota 5 4 2 4 2" xfId="12230"/>
    <cellStyle name="Nota 5 4 2 5" xfId="12231"/>
    <cellStyle name="Nota 5 4 2 5 2" xfId="12232"/>
    <cellStyle name="Nota 5 4 3" xfId="12233"/>
    <cellStyle name="Nota 5 4 3 2" xfId="12234"/>
    <cellStyle name="Nota 5 4 4" xfId="12235"/>
    <cellStyle name="Nota 5 4 4 2" xfId="12236"/>
    <cellStyle name="Nota 5 4 5" xfId="12237"/>
    <cellStyle name="Nota 5 4 5 2" xfId="12238"/>
    <cellStyle name="Nota 5 4 6" xfId="12239"/>
    <cellStyle name="Nota 5 4 6 2" xfId="12240"/>
    <cellStyle name="Nota 5 5" xfId="2383"/>
    <cellStyle name="Nota 5 5 2" xfId="2384"/>
    <cellStyle name="Nota 5 5 2 2" xfId="12241"/>
    <cellStyle name="Nota 5 5 2 2 2" xfId="12242"/>
    <cellStyle name="Nota 5 5 2 3" xfId="12243"/>
    <cellStyle name="Nota 5 5 2 3 2" xfId="12244"/>
    <cellStyle name="Nota 5 5 2 4" xfId="12245"/>
    <cellStyle name="Nota 5 5 2 4 2" xfId="12246"/>
    <cellStyle name="Nota 5 5 2 5" xfId="12247"/>
    <cellStyle name="Nota 5 5 2 5 2" xfId="12248"/>
    <cellStyle name="Nota 5 5 3" xfId="12249"/>
    <cellStyle name="Nota 5 5 3 2" xfId="12250"/>
    <cellStyle name="Nota 5 5 4" xfId="12251"/>
    <cellStyle name="Nota 5 5 4 2" xfId="12252"/>
    <cellStyle name="Nota 5 5 5" xfId="12253"/>
    <cellStyle name="Nota 5 5 5 2" xfId="12254"/>
    <cellStyle name="Nota 5 5 6" xfId="12255"/>
    <cellStyle name="Nota 5 5 6 2" xfId="12256"/>
    <cellStyle name="Nota 5 6" xfId="2385"/>
    <cellStyle name="Nota 5 6 2" xfId="2386"/>
    <cellStyle name="Nota 5 6 2 2" xfId="12257"/>
    <cellStyle name="Nota 5 6 2 2 2" xfId="12258"/>
    <cellStyle name="Nota 5 6 2 3" xfId="12259"/>
    <cellStyle name="Nota 5 6 2 3 2" xfId="12260"/>
    <cellStyle name="Nota 5 6 2 4" xfId="12261"/>
    <cellStyle name="Nota 5 6 2 4 2" xfId="12262"/>
    <cellStyle name="Nota 5 6 2 5" xfId="12263"/>
    <cellStyle name="Nota 5 6 2 5 2" xfId="12264"/>
    <cellStyle name="Nota 5 6 3" xfId="12265"/>
    <cellStyle name="Nota 5 6 3 2" xfId="12266"/>
    <cellStyle name="Nota 5 6 4" xfId="12267"/>
    <cellStyle name="Nota 5 6 4 2" xfId="12268"/>
    <cellStyle name="Nota 5 6 5" xfId="12269"/>
    <cellStyle name="Nota 5 6 5 2" xfId="12270"/>
    <cellStyle name="Nota 5 6 6" xfId="12271"/>
    <cellStyle name="Nota 5 6 6 2" xfId="12272"/>
    <cellStyle name="Nota 5 7" xfId="2387"/>
    <cellStyle name="Nota 5 7 2" xfId="2388"/>
    <cellStyle name="Nota 5 7 2 2" xfId="12273"/>
    <cellStyle name="Nota 5 7 2 2 2" xfId="12274"/>
    <cellStyle name="Nota 5 7 2 3" xfId="12275"/>
    <cellStyle name="Nota 5 7 2 3 2" xfId="12276"/>
    <cellStyle name="Nota 5 7 2 4" xfId="12277"/>
    <cellStyle name="Nota 5 7 2 4 2" xfId="12278"/>
    <cellStyle name="Nota 5 7 2 5" xfId="12279"/>
    <cellStyle name="Nota 5 7 2 5 2" xfId="12280"/>
    <cellStyle name="Nota 5 7 3" xfId="12281"/>
    <cellStyle name="Nota 5 7 3 2" xfId="12282"/>
    <cellStyle name="Nota 5 7 4" xfId="12283"/>
    <cellStyle name="Nota 5 7 4 2" xfId="12284"/>
    <cellStyle name="Nota 5 7 5" xfId="12285"/>
    <cellStyle name="Nota 5 7 5 2" xfId="12286"/>
    <cellStyle name="Nota 5 7 6" xfId="12287"/>
    <cellStyle name="Nota 5 7 6 2" xfId="12288"/>
    <cellStyle name="Nota 5 8" xfId="2389"/>
    <cellStyle name="Nota 5 8 2" xfId="12289"/>
    <cellStyle name="Nota 5 8 2 2" xfId="12290"/>
    <cellStyle name="Nota 5 8 3" xfId="12291"/>
    <cellStyle name="Nota 5 8 3 2" xfId="12292"/>
    <cellStyle name="Nota 5 8 4" xfId="12293"/>
    <cellStyle name="Nota 5 8 4 2" xfId="12294"/>
    <cellStyle name="Nota 5 8 5" xfId="12295"/>
    <cellStyle name="Nota 5 8 5 2" xfId="12296"/>
    <cellStyle name="Nota 5 9" xfId="12297"/>
    <cellStyle name="Nota 5 9 2" xfId="12298"/>
    <cellStyle name="Nota 6" xfId="1554"/>
    <cellStyle name="Nota 6 10" xfId="12299"/>
    <cellStyle name="Nota 6 10 2" xfId="12300"/>
    <cellStyle name="Nota 6 11" xfId="12301"/>
    <cellStyle name="Nota 6 11 2" xfId="12302"/>
    <cellStyle name="Nota 6 2" xfId="2390"/>
    <cellStyle name="Nota 6 2 2" xfId="2391"/>
    <cellStyle name="Nota 6 2 2 2" xfId="12303"/>
    <cellStyle name="Nota 6 2 2 2 2" xfId="12304"/>
    <cellStyle name="Nota 6 2 2 3" xfId="12305"/>
    <cellStyle name="Nota 6 2 2 3 2" xfId="12306"/>
    <cellStyle name="Nota 6 2 2 4" xfId="12307"/>
    <cellStyle name="Nota 6 2 2 4 2" xfId="12308"/>
    <cellStyle name="Nota 6 2 2 5" xfId="12309"/>
    <cellStyle name="Nota 6 2 2 5 2" xfId="12310"/>
    <cellStyle name="Nota 6 2 3" xfId="12311"/>
    <cellStyle name="Nota 6 2 3 2" xfId="12312"/>
    <cellStyle name="Nota 6 2 4" xfId="12313"/>
    <cellStyle name="Nota 6 2 4 2" xfId="12314"/>
    <cellStyle name="Nota 6 2 5" xfId="12315"/>
    <cellStyle name="Nota 6 2 5 2" xfId="12316"/>
    <cellStyle name="Nota 6 2 6" xfId="12317"/>
    <cellStyle name="Nota 6 2 6 2" xfId="12318"/>
    <cellStyle name="Nota 6 3" xfId="2392"/>
    <cellStyle name="Nota 6 3 2" xfId="2393"/>
    <cellStyle name="Nota 6 3 2 2" xfId="12319"/>
    <cellStyle name="Nota 6 3 2 2 2" xfId="12320"/>
    <cellStyle name="Nota 6 3 2 3" xfId="12321"/>
    <cellStyle name="Nota 6 3 2 3 2" xfId="12322"/>
    <cellStyle name="Nota 6 3 2 4" xfId="12323"/>
    <cellStyle name="Nota 6 3 2 4 2" xfId="12324"/>
    <cellStyle name="Nota 6 3 2 5" xfId="12325"/>
    <cellStyle name="Nota 6 3 2 5 2" xfId="12326"/>
    <cellStyle name="Nota 6 3 3" xfId="12327"/>
    <cellStyle name="Nota 6 3 3 2" xfId="12328"/>
    <cellStyle name="Nota 6 3 4" xfId="12329"/>
    <cellStyle name="Nota 6 3 4 2" xfId="12330"/>
    <cellStyle name="Nota 6 3 5" xfId="12331"/>
    <cellStyle name="Nota 6 3 5 2" xfId="12332"/>
    <cellStyle name="Nota 6 3 6" xfId="12333"/>
    <cellStyle name="Nota 6 3 6 2" xfId="12334"/>
    <cellStyle name="Nota 6 4" xfId="2394"/>
    <cellStyle name="Nota 6 4 2" xfId="2395"/>
    <cellStyle name="Nota 6 4 2 2" xfId="12335"/>
    <cellStyle name="Nota 6 4 2 2 2" xfId="12336"/>
    <cellStyle name="Nota 6 4 2 3" xfId="12337"/>
    <cellStyle name="Nota 6 4 2 3 2" xfId="12338"/>
    <cellStyle name="Nota 6 4 2 4" xfId="12339"/>
    <cellStyle name="Nota 6 4 2 4 2" xfId="12340"/>
    <cellStyle name="Nota 6 4 2 5" xfId="12341"/>
    <cellStyle name="Nota 6 4 2 5 2" xfId="12342"/>
    <cellStyle name="Nota 6 4 3" xfId="12343"/>
    <cellStyle name="Nota 6 4 3 2" xfId="12344"/>
    <cellStyle name="Nota 6 4 4" xfId="12345"/>
    <cellStyle name="Nota 6 4 4 2" xfId="12346"/>
    <cellStyle name="Nota 6 4 5" xfId="12347"/>
    <cellStyle name="Nota 6 4 5 2" xfId="12348"/>
    <cellStyle name="Nota 6 4 6" xfId="12349"/>
    <cellStyle name="Nota 6 4 6 2" xfId="12350"/>
    <cellStyle name="Nota 6 5" xfId="2396"/>
    <cellStyle name="Nota 6 5 2" xfId="2397"/>
    <cellStyle name="Nota 6 5 2 2" xfId="12351"/>
    <cellStyle name="Nota 6 5 2 2 2" xfId="12352"/>
    <cellStyle name="Nota 6 5 2 3" xfId="12353"/>
    <cellStyle name="Nota 6 5 2 3 2" xfId="12354"/>
    <cellStyle name="Nota 6 5 2 4" xfId="12355"/>
    <cellStyle name="Nota 6 5 2 4 2" xfId="12356"/>
    <cellStyle name="Nota 6 5 2 5" xfId="12357"/>
    <cellStyle name="Nota 6 5 2 5 2" xfId="12358"/>
    <cellStyle name="Nota 6 5 3" xfId="12359"/>
    <cellStyle name="Nota 6 5 3 2" xfId="12360"/>
    <cellStyle name="Nota 6 5 4" xfId="12361"/>
    <cellStyle name="Nota 6 5 4 2" xfId="12362"/>
    <cellStyle name="Nota 6 5 5" xfId="12363"/>
    <cellStyle name="Nota 6 5 5 2" xfId="12364"/>
    <cellStyle name="Nota 6 5 6" xfId="12365"/>
    <cellStyle name="Nota 6 5 6 2" xfId="12366"/>
    <cellStyle name="Nota 6 6" xfId="2398"/>
    <cellStyle name="Nota 6 6 2" xfId="2399"/>
    <cellStyle name="Nota 6 6 2 2" xfId="12367"/>
    <cellStyle name="Nota 6 6 2 2 2" xfId="12368"/>
    <cellStyle name="Nota 6 6 2 3" xfId="12369"/>
    <cellStyle name="Nota 6 6 2 3 2" xfId="12370"/>
    <cellStyle name="Nota 6 6 2 4" xfId="12371"/>
    <cellStyle name="Nota 6 6 2 4 2" xfId="12372"/>
    <cellStyle name="Nota 6 6 2 5" xfId="12373"/>
    <cellStyle name="Nota 6 6 2 5 2" xfId="12374"/>
    <cellStyle name="Nota 6 6 3" xfId="12375"/>
    <cellStyle name="Nota 6 6 3 2" xfId="12376"/>
    <cellStyle name="Nota 6 6 4" xfId="12377"/>
    <cellStyle name="Nota 6 6 4 2" xfId="12378"/>
    <cellStyle name="Nota 6 6 5" xfId="12379"/>
    <cellStyle name="Nota 6 6 5 2" xfId="12380"/>
    <cellStyle name="Nota 6 6 6" xfId="12381"/>
    <cellStyle name="Nota 6 6 6 2" xfId="12382"/>
    <cellStyle name="Nota 6 7" xfId="2400"/>
    <cellStyle name="Nota 6 7 2" xfId="12383"/>
    <cellStyle name="Nota 6 7 2 2" xfId="12384"/>
    <cellStyle name="Nota 6 7 3" xfId="12385"/>
    <cellStyle name="Nota 6 7 3 2" xfId="12386"/>
    <cellStyle name="Nota 6 7 4" xfId="12387"/>
    <cellStyle name="Nota 6 7 4 2" xfId="12388"/>
    <cellStyle name="Nota 6 7 5" xfId="12389"/>
    <cellStyle name="Nota 6 7 5 2" xfId="12390"/>
    <cellStyle name="Nota 6 8" xfId="12391"/>
    <cellStyle name="Nota 6 8 2" xfId="12392"/>
    <cellStyle name="Nota 6 9" xfId="12393"/>
    <cellStyle name="Nota 6 9 2" xfId="12394"/>
    <cellStyle name="Nota 7" xfId="1555"/>
    <cellStyle name="Nota 7 2" xfId="12395"/>
    <cellStyle name="Nota 7 2 2" xfId="12396"/>
    <cellStyle name="Nota 7 3" xfId="12397"/>
    <cellStyle name="Nota 7 3 2" xfId="12398"/>
    <cellStyle name="Nota 7 4" xfId="12399"/>
    <cellStyle name="Nota 7 4 2" xfId="12400"/>
    <cellStyle name="Nota 7 5" xfId="12401"/>
    <cellStyle name="Nota 7 5 2" xfId="12402"/>
    <cellStyle name="Nota 8" xfId="1556"/>
    <cellStyle name="Nota 8 2" xfId="12403"/>
    <cellStyle name="Nota 8 2 2" xfId="12404"/>
    <cellStyle name="Nota 8 3" xfId="12405"/>
    <cellStyle name="Nota 8 3 2" xfId="12406"/>
    <cellStyle name="Nota 8 4" xfId="12407"/>
    <cellStyle name="Nota 8 4 2" xfId="12408"/>
    <cellStyle name="Nota 8 5" xfId="12409"/>
    <cellStyle name="Nota 8 5 2" xfId="12410"/>
    <cellStyle name="Nota 9" xfId="1557"/>
    <cellStyle name="Nota 9 2" xfId="12411"/>
    <cellStyle name="Nota 9 2 2" xfId="12412"/>
    <cellStyle name="Nota 9 3" xfId="12413"/>
    <cellStyle name="Nota 9 3 2" xfId="12414"/>
    <cellStyle name="Nota 9 4" xfId="12415"/>
    <cellStyle name="Nota 9 4 2" xfId="12416"/>
    <cellStyle name="Nota 9 5" xfId="12417"/>
    <cellStyle name="Nota 9 5 2" xfId="12418"/>
    <cellStyle name="Note" xfId="1558"/>
    <cellStyle name="Note 10" xfId="12419"/>
    <cellStyle name="Note 10 2" xfId="12420"/>
    <cellStyle name="Note 2" xfId="12421"/>
    <cellStyle name="Note 2 2" xfId="12422"/>
    <cellStyle name="Note 2 2 2" xfId="12423"/>
    <cellStyle name="Note 2 2 2 2" xfId="12424"/>
    <cellStyle name="Note 2 2 3" xfId="12425"/>
    <cellStyle name="Note 2 2 3 2" xfId="12426"/>
    <cellStyle name="Note 2 2 4" xfId="12427"/>
    <cellStyle name="Note 2 2 4 2" xfId="12428"/>
    <cellStyle name="Note 2 2 5" xfId="12429"/>
    <cellStyle name="Note 2 2 5 2" xfId="12430"/>
    <cellStyle name="Note 2 3" xfId="12431"/>
    <cellStyle name="Note 2 3 2" xfId="12432"/>
    <cellStyle name="Note 2 4" xfId="12433"/>
    <cellStyle name="Note 2 4 2" xfId="12434"/>
    <cellStyle name="Note 2 5" xfId="12435"/>
    <cellStyle name="Note 2 5 2" xfId="12436"/>
    <cellStyle name="Note 2 6" xfId="12437"/>
    <cellStyle name="Note 2 6 2" xfId="12438"/>
    <cellStyle name="Note 3" xfId="12439"/>
    <cellStyle name="Note 3 2" xfId="12440"/>
    <cellStyle name="Note 3 2 2" xfId="12441"/>
    <cellStyle name="Note 3 2 2 2" xfId="12442"/>
    <cellStyle name="Note 3 2 3" xfId="12443"/>
    <cellStyle name="Note 3 2 3 2" xfId="12444"/>
    <cellStyle name="Note 3 2 4" xfId="12445"/>
    <cellStyle name="Note 3 2 4 2" xfId="12446"/>
    <cellStyle name="Note 3 2 5" xfId="12447"/>
    <cellStyle name="Note 3 2 5 2" xfId="12448"/>
    <cellStyle name="Note 3 3" xfId="12449"/>
    <cellStyle name="Note 3 3 2" xfId="12450"/>
    <cellStyle name="Note 3 4" xfId="12451"/>
    <cellStyle name="Note 3 4 2" xfId="12452"/>
    <cellStyle name="Note 3 5" xfId="12453"/>
    <cellStyle name="Note 3 5 2" xfId="12454"/>
    <cellStyle name="Note 3 6" xfId="12455"/>
    <cellStyle name="Note 3 6 2" xfId="12456"/>
    <cellStyle name="Note 4" xfId="12457"/>
    <cellStyle name="Note 4 2" xfId="12458"/>
    <cellStyle name="Note 4 2 2" xfId="12459"/>
    <cellStyle name="Note 4 2 2 2" xfId="12460"/>
    <cellStyle name="Note 4 2 3" xfId="12461"/>
    <cellStyle name="Note 4 2 3 2" xfId="12462"/>
    <cellStyle name="Note 4 2 4" xfId="12463"/>
    <cellStyle name="Note 4 2 4 2" xfId="12464"/>
    <cellStyle name="Note 4 2 5" xfId="12465"/>
    <cellStyle name="Note 4 2 5 2" xfId="12466"/>
    <cellStyle name="Note 4 3" xfId="12467"/>
    <cellStyle name="Note 4 3 2" xfId="12468"/>
    <cellStyle name="Note 4 4" xfId="12469"/>
    <cellStyle name="Note 4 4 2" xfId="12470"/>
    <cellStyle name="Note 4 5" xfId="12471"/>
    <cellStyle name="Note 4 5 2" xfId="12472"/>
    <cellStyle name="Note 4 6" xfId="12473"/>
    <cellStyle name="Note 4 6 2" xfId="12474"/>
    <cellStyle name="Note 5" xfId="12475"/>
    <cellStyle name="Note 5 2" xfId="12476"/>
    <cellStyle name="Note 5 2 2" xfId="12477"/>
    <cellStyle name="Note 5 3" xfId="12478"/>
    <cellStyle name="Note 5 3 2" xfId="12479"/>
    <cellStyle name="Note 5 4" xfId="12480"/>
    <cellStyle name="Note 5 4 2" xfId="12481"/>
    <cellStyle name="Note 5 5" xfId="12482"/>
    <cellStyle name="Note 5 5 2" xfId="12483"/>
    <cellStyle name="Note 6" xfId="12484"/>
    <cellStyle name="Note 6 2" xfId="12485"/>
    <cellStyle name="Note 6 2 2" xfId="12486"/>
    <cellStyle name="Note 6 3" xfId="12487"/>
    <cellStyle name="Note 6 3 2" xfId="12488"/>
    <cellStyle name="Note 6 4" xfId="12489"/>
    <cellStyle name="Note 6 4 2" xfId="12490"/>
    <cellStyle name="Note 6 5" xfId="12491"/>
    <cellStyle name="Note 6 5 2" xfId="12492"/>
    <cellStyle name="Note 7" xfId="12493"/>
    <cellStyle name="Note 7 2" xfId="12494"/>
    <cellStyle name="Note 8" xfId="12495"/>
    <cellStyle name="Note 8 2" xfId="12496"/>
    <cellStyle name="Note 9" xfId="12497"/>
    <cellStyle name="Note 9 2" xfId="12498"/>
    <cellStyle name="Output" xfId="1559"/>
    <cellStyle name="Output 2" xfId="12499"/>
    <cellStyle name="Output 2 2" xfId="12500"/>
    <cellStyle name="Output 2 2 2" xfId="12501"/>
    <cellStyle name="Output 2 3" xfId="12502"/>
    <cellStyle name="Output 2 3 2" xfId="12503"/>
    <cellStyle name="Output 2 4" xfId="12504"/>
    <cellStyle name="Output 2 4 2" xfId="12505"/>
    <cellStyle name="Output 2 5" xfId="12506"/>
    <cellStyle name="Output 2 5 2" xfId="12507"/>
    <cellStyle name="Output 3" xfId="12508"/>
    <cellStyle name="Output 3 2" xfId="12509"/>
    <cellStyle name="Output 3 2 2" xfId="12510"/>
    <cellStyle name="Output 3 3" xfId="12511"/>
    <cellStyle name="Output 3 3 2" xfId="12512"/>
    <cellStyle name="Output 3 4" xfId="12513"/>
    <cellStyle name="Output 3 4 2" xfId="12514"/>
    <cellStyle name="Output 3 5" xfId="12515"/>
    <cellStyle name="Output 3 5 2" xfId="12516"/>
    <cellStyle name="Output 4" xfId="12517"/>
    <cellStyle name="Output 4 2" xfId="12518"/>
    <cellStyle name="Output 4 2 2" xfId="12519"/>
    <cellStyle name="Output 4 3" xfId="12520"/>
    <cellStyle name="Output 4 3 2" xfId="12521"/>
    <cellStyle name="Output 4 4" xfId="12522"/>
    <cellStyle name="Output 4 4 2" xfId="12523"/>
    <cellStyle name="Output 4 5" xfId="12524"/>
    <cellStyle name="Output 4 5 2" xfId="12525"/>
    <cellStyle name="pb_table_format_bottomonly" xfId="12526"/>
    <cellStyle name="Percent" xfId="1560"/>
    <cellStyle name="Percent (M)" xfId="2401"/>
    <cellStyle name="Percent [2]" xfId="12527"/>
    <cellStyle name="Percent [2] 2" xfId="12528"/>
    <cellStyle name="Percent [2] 2 2" xfId="12529"/>
    <cellStyle name="Percent [2] 3" xfId="12530"/>
    <cellStyle name="Percent [2] 3 2" xfId="12531"/>
    <cellStyle name="Percent [2] 4" xfId="12532"/>
    <cellStyle name="Percent [2] 5" xfId="12533"/>
    <cellStyle name="PERCENTAGE" xfId="12534"/>
    <cellStyle name="PERCENTAGE 2" xfId="12535"/>
    <cellStyle name="PERCENTAGE 3" xfId="12536"/>
    <cellStyle name="PERCENTAGE 4" xfId="12537"/>
    <cellStyle name="Percentual" xfId="1561"/>
    <cellStyle name="PlainDollar" xfId="2402"/>
    <cellStyle name="Ponto" xfId="1562"/>
    <cellStyle name="Ponto 2" xfId="12538"/>
    <cellStyle name="Ponto 2 2" xfId="12539"/>
    <cellStyle name="Ponto 3" xfId="12540"/>
    <cellStyle name="Ponto 3 2" xfId="12541"/>
    <cellStyle name="Ponto 4" xfId="12542"/>
    <cellStyle name="Ponto 5" xfId="12543"/>
    <cellStyle name="Porcentagem 10" xfId="1563"/>
    <cellStyle name="Porcentagem 10 2" xfId="12544"/>
    <cellStyle name="Porcentagem 10 3" xfId="20575"/>
    <cellStyle name="Porcentagem 11" xfId="2403"/>
    <cellStyle name="Porcentagem 12" xfId="2404"/>
    <cellStyle name="Porcentagem 13" xfId="2405"/>
    <cellStyle name="Porcentagem 13 2" xfId="2406"/>
    <cellStyle name="Porcentagem 14" xfId="2407"/>
    <cellStyle name="Porcentagem 15" xfId="2408"/>
    <cellStyle name="Porcentagem 16" xfId="2409"/>
    <cellStyle name="Porcentagem 17" xfId="12545"/>
    <cellStyle name="Porcentagem 18" xfId="12546"/>
    <cellStyle name="Porcentagem 18 2" xfId="12547"/>
    <cellStyle name="Porcentagem 2" xfId="1564"/>
    <cellStyle name="Porcentagem 2 10" xfId="1565"/>
    <cellStyle name="Porcentagem 2 11" xfId="1566"/>
    <cellStyle name="Porcentagem 2 12" xfId="1567"/>
    <cellStyle name="Porcentagem 2 13" xfId="1568"/>
    <cellStyle name="Porcentagem 2 14" xfId="1569"/>
    <cellStyle name="Porcentagem 2 15" xfId="12548"/>
    <cellStyle name="Porcentagem 2 2" xfId="1570"/>
    <cellStyle name="Porcentagem 2 2 10" xfId="1571"/>
    <cellStyle name="Porcentagem 2 2 11" xfId="1572"/>
    <cellStyle name="Porcentagem 2 2 2" xfId="1573"/>
    <cellStyle name="Porcentagem 2 2 2 10" xfId="1574"/>
    <cellStyle name="Porcentagem 2 2 2 2" xfId="1575"/>
    <cellStyle name="Porcentagem 2 2 2 3" xfId="1576"/>
    <cellStyle name="Porcentagem 2 2 2 4" xfId="1577"/>
    <cellStyle name="Porcentagem 2 2 2 5" xfId="1578"/>
    <cellStyle name="Porcentagem 2 2 2 6" xfId="1579"/>
    <cellStyle name="Porcentagem 2 2 2 7" xfId="1580"/>
    <cellStyle name="Porcentagem 2 2 2 8" xfId="1581"/>
    <cellStyle name="Porcentagem 2 2 2 9" xfId="1582"/>
    <cellStyle name="Porcentagem 2 2 3" xfId="1583"/>
    <cellStyle name="Porcentagem 2 2 3 2" xfId="12549"/>
    <cellStyle name="Porcentagem 2 2 4" xfId="1584"/>
    <cellStyle name="Porcentagem 2 2 5" xfId="1585"/>
    <cellStyle name="Porcentagem 2 2 6" xfId="1586"/>
    <cellStyle name="Porcentagem 2 2 7" xfId="1587"/>
    <cellStyle name="Porcentagem 2 2 8" xfId="1588"/>
    <cellStyle name="Porcentagem 2 2 9" xfId="1589"/>
    <cellStyle name="Porcentagem 2 3" xfId="1590"/>
    <cellStyle name="Porcentagem 2 3 10" xfId="1591"/>
    <cellStyle name="Porcentagem 2 3 2" xfId="1592"/>
    <cellStyle name="Porcentagem 2 3 2 2" xfId="12550"/>
    <cellStyle name="Porcentagem 2 3 3" xfId="1593"/>
    <cellStyle name="Porcentagem 2 3 4" xfId="1594"/>
    <cellStyle name="Porcentagem 2 3 5" xfId="1595"/>
    <cellStyle name="Porcentagem 2 3 6" xfId="1596"/>
    <cellStyle name="Porcentagem 2 3 7" xfId="1597"/>
    <cellStyle name="Porcentagem 2 3 8" xfId="1598"/>
    <cellStyle name="Porcentagem 2 3 9" xfId="1599"/>
    <cellStyle name="Porcentagem 2 4" xfId="1600"/>
    <cellStyle name="Porcentagem 2 4 2" xfId="12551"/>
    <cellStyle name="Porcentagem 2 5" xfId="1601"/>
    <cellStyle name="Porcentagem 2 6" xfId="1602"/>
    <cellStyle name="Porcentagem 2 7" xfId="1603"/>
    <cellStyle name="Porcentagem 2 8" xfId="1604"/>
    <cellStyle name="Porcentagem 2 9" xfId="1605"/>
    <cellStyle name="Porcentagem 22" xfId="12552"/>
    <cellStyle name="Porcentagem 3" xfId="1606"/>
    <cellStyle name="Porcentagem 3 10" xfId="1607"/>
    <cellStyle name="Porcentagem 3 11" xfId="1608"/>
    <cellStyle name="Porcentagem 3 12" xfId="12553"/>
    <cellStyle name="Porcentagem 3 2" xfId="1609"/>
    <cellStyle name="Porcentagem 3 2 10" xfId="1610"/>
    <cellStyle name="Porcentagem 3 2 2" xfId="1611"/>
    <cellStyle name="Porcentagem 3 2 2 2" xfId="12554"/>
    <cellStyle name="Porcentagem 3 2 2 2 2" xfId="12555"/>
    <cellStyle name="Porcentagem 3 2 2 3" xfId="12556"/>
    <cellStyle name="Porcentagem 3 2 3" xfId="1612"/>
    <cellStyle name="Porcentagem 3 2 3 2" xfId="12557"/>
    <cellStyle name="Porcentagem 3 2 4" xfId="1613"/>
    <cellStyle name="Porcentagem 3 2 5" xfId="1614"/>
    <cellStyle name="Porcentagem 3 2 6" xfId="1615"/>
    <cellStyle name="Porcentagem 3 2 7" xfId="1616"/>
    <cellStyle name="Porcentagem 3 2 8" xfId="1617"/>
    <cellStyle name="Porcentagem 3 2 9" xfId="1618"/>
    <cellStyle name="Porcentagem 3 3" xfId="1619"/>
    <cellStyle name="Porcentagem 3 4" xfId="1620"/>
    <cellStyle name="Porcentagem 3 5" xfId="1621"/>
    <cellStyle name="Porcentagem 3 6" xfId="1622"/>
    <cellStyle name="Porcentagem 3 7" xfId="1623"/>
    <cellStyle name="Porcentagem 3 8" xfId="1624"/>
    <cellStyle name="Porcentagem 3 9" xfId="1625"/>
    <cellStyle name="Porcentagem 4" xfId="1626"/>
    <cellStyle name="Porcentagem 4 10" xfId="1627"/>
    <cellStyle name="Porcentagem 4 2" xfId="1628"/>
    <cellStyle name="Porcentagem 4 3" xfId="1629"/>
    <cellStyle name="Porcentagem 4 4" xfId="1630"/>
    <cellStyle name="Porcentagem 4 5" xfId="1631"/>
    <cellStyle name="Porcentagem 4 6" xfId="1632"/>
    <cellStyle name="Porcentagem 4 7" xfId="1633"/>
    <cellStyle name="Porcentagem 4 8" xfId="1634"/>
    <cellStyle name="Porcentagem 4 9" xfId="1635"/>
    <cellStyle name="Porcentagem 5" xfId="1636"/>
    <cellStyle name="Porcentagem 5 2" xfId="1637"/>
    <cellStyle name="Porcentagem 5 2 2" xfId="12558"/>
    <cellStyle name="Porcentagem 5 3" xfId="2410"/>
    <cellStyle name="Porcentagem 5 3 2" xfId="12559"/>
    <cellStyle name="Porcentagem 5 4" xfId="12560"/>
    <cellStyle name="Porcentagem 5 5" xfId="12561"/>
    <cellStyle name="Porcentagem 6" xfId="1638"/>
    <cellStyle name="Porcentagem 6 2" xfId="2411"/>
    <cellStyle name="Porcentagem 6 2 2" xfId="12562"/>
    <cellStyle name="Porcentagem 6 3" xfId="12563"/>
    <cellStyle name="Porcentagem 7" xfId="1639"/>
    <cellStyle name="Porcentagem 7 10" xfId="1640"/>
    <cellStyle name="Porcentagem 7 11" xfId="1641"/>
    <cellStyle name="Porcentagem 7 2" xfId="1642"/>
    <cellStyle name="Porcentagem 7 2 10" xfId="1643"/>
    <cellStyle name="Porcentagem 7 2 2" xfId="1644"/>
    <cellStyle name="Porcentagem 7 2 3" xfId="1645"/>
    <cellStyle name="Porcentagem 7 2 4" xfId="1646"/>
    <cellStyle name="Porcentagem 7 2 5" xfId="1647"/>
    <cellStyle name="Porcentagem 7 2 6" xfId="1648"/>
    <cellStyle name="Porcentagem 7 2 7" xfId="1649"/>
    <cellStyle name="Porcentagem 7 2 8" xfId="1650"/>
    <cellStyle name="Porcentagem 7 2 9" xfId="1651"/>
    <cellStyle name="Porcentagem 7 3" xfId="1652"/>
    <cellStyle name="Porcentagem 7 4" xfId="1653"/>
    <cellStyle name="Porcentagem 7 5" xfId="1654"/>
    <cellStyle name="Porcentagem 7 6" xfId="1655"/>
    <cellStyle name="Porcentagem 7 7" xfId="1656"/>
    <cellStyle name="Porcentagem 7 8" xfId="1657"/>
    <cellStyle name="Porcentagem 7 9" xfId="1658"/>
    <cellStyle name="Porcentagem 8" xfId="1659"/>
    <cellStyle name="Porcentagem 8 10" xfId="1660"/>
    <cellStyle name="Porcentagem 8 2" xfId="1661"/>
    <cellStyle name="Porcentagem 8 3" xfId="1662"/>
    <cellStyle name="Porcentagem 8 4" xfId="1663"/>
    <cellStyle name="Porcentagem 8 5" xfId="1664"/>
    <cellStyle name="Porcentagem 8 6" xfId="1665"/>
    <cellStyle name="Porcentagem 8 7" xfId="1666"/>
    <cellStyle name="Porcentagem 8 8" xfId="1667"/>
    <cellStyle name="Porcentagem 8 9" xfId="1668"/>
    <cellStyle name="Porcentagem 9" xfId="1669"/>
    <cellStyle name="Porcentagem 9 10" xfId="1670"/>
    <cellStyle name="Porcentagem 9 2" xfId="1671"/>
    <cellStyle name="Porcentagem 9 3" xfId="1672"/>
    <cellStyle name="Porcentagem 9 4" xfId="1673"/>
    <cellStyle name="Porcentagem 9 5" xfId="1674"/>
    <cellStyle name="Porcentagem 9 6" xfId="1675"/>
    <cellStyle name="Porcentagem 9 7" xfId="1676"/>
    <cellStyle name="Porcentagem 9 8" xfId="1677"/>
    <cellStyle name="Porcentagem 9 9" xfId="1678"/>
    <cellStyle name="Porcentaje" xfId="12564"/>
    <cellStyle name="PSChar" xfId="1679"/>
    <cellStyle name="PSChar 2" xfId="2412"/>
    <cellStyle name="PSChar 2 2" xfId="2413"/>
    <cellStyle name="PSChar 3" xfId="2414"/>
    <cellStyle name="PSChar 3 2" xfId="2415"/>
    <cellStyle name="PSChar 4" xfId="2416"/>
    <cellStyle name="PSChar 4 2" xfId="2417"/>
    <cellStyle name="PSChar 5" xfId="2418"/>
    <cellStyle name="PSChar 5 2" xfId="2419"/>
    <cellStyle name="PSDate" xfId="1680"/>
    <cellStyle name="PSDate 2" xfId="2420"/>
    <cellStyle name="PSDate 2 2" xfId="2421"/>
    <cellStyle name="PSDate 3" xfId="2422"/>
    <cellStyle name="PSDate 3 2" xfId="2423"/>
    <cellStyle name="PSDate 4" xfId="2424"/>
    <cellStyle name="PSDate 4 2" xfId="2425"/>
    <cellStyle name="PSDate 5" xfId="2426"/>
    <cellStyle name="PSDate 5 2" xfId="2427"/>
    <cellStyle name="PSDec" xfId="1681"/>
    <cellStyle name="PSDec 2" xfId="2428"/>
    <cellStyle name="PSDec 2 2" xfId="2429"/>
    <cellStyle name="PSDec 3" xfId="2430"/>
    <cellStyle name="PSDec 3 2" xfId="2431"/>
    <cellStyle name="PSDec 4" xfId="2432"/>
    <cellStyle name="PSDec 4 2" xfId="2433"/>
    <cellStyle name="PSDec 5" xfId="2434"/>
    <cellStyle name="PSDec 5 2" xfId="2435"/>
    <cellStyle name="PSHeading" xfId="1682"/>
    <cellStyle name="PSHeading 2" xfId="2436"/>
    <cellStyle name="PSHeading 2 2" xfId="2437"/>
    <cellStyle name="PSHeading 2 2 2" xfId="2438"/>
    <cellStyle name="PSHeading 2 3" xfId="2439"/>
    <cellStyle name="PSHeading 2_GPOi Celpa" xfId="2440"/>
    <cellStyle name="PSHeading 3" xfId="2441"/>
    <cellStyle name="PSHeading 3 2" xfId="2442"/>
    <cellStyle name="PSHeading 3 2 2" xfId="2443"/>
    <cellStyle name="PSHeading 3 3" xfId="2444"/>
    <cellStyle name="PSHeading 3_GPOi Celpa" xfId="2445"/>
    <cellStyle name="PSHeading 4" xfId="2446"/>
    <cellStyle name="PSHeading 4 2" xfId="2447"/>
    <cellStyle name="PSHeading 4 2 2" xfId="2448"/>
    <cellStyle name="PSHeading 4 3" xfId="2449"/>
    <cellStyle name="PSHeading 4_GPOi Celpa" xfId="2450"/>
    <cellStyle name="PSHeading 5" xfId="2451"/>
    <cellStyle name="PSHeading 5 2" xfId="2452"/>
    <cellStyle name="PSHeading 5 2 2" xfId="2453"/>
    <cellStyle name="PSHeading 5 3" xfId="2454"/>
    <cellStyle name="PSHeading 5_GPOi Celpa" xfId="2455"/>
    <cellStyle name="PSHeading 6" xfId="2456"/>
    <cellStyle name="PSHeading_GP OI (V4.2) - 18.12.2008" xfId="2457"/>
    <cellStyle name="PSInt" xfId="1683"/>
    <cellStyle name="PSInt 2" xfId="2458"/>
    <cellStyle name="PSInt 2 2" xfId="2459"/>
    <cellStyle name="PSInt 3" xfId="2460"/>
    <cellStyle name="PSInt 3 2" xfId="2461"/>
    <cellStyle name="PSInt 4" xfId="2462"/>
    <cellStyle name="PSInt 4 2" xfId="2463"/>
    <cellStyle name="PSInt 5" xfId="2464"/>
    <cellStyle name="PSInt 5 2" xfId="2465"/>
    <cellStyle name="PSSpacer" xfId="1684"/>
    <cellStyle name="PSSpacer 2" xfId="2466"/>
    <cellStyle name="PSSpacer 2 2" xfId="2467"/>
    <cellStyle name="PSSpacer 3" xfId="2468"/>
    <cellStyle name="PSSpacer 3 2" xfId="2469"/>
    <cellStyle name="PSSpacer 4" xfId="2470"/>
    <cellStyle name="PSSpacer 4 2" xfId="2471"/>
    <cellStyle name="PSSpacer 5" xfId="2472"/>
    <cellStyle name="PSSpacer 5 2" xfId="2473"/>
    <cellStyle name="R$/kg" xfId="1685"/>
    <cellStyle name="revisado" xfId="1686"/>
    <cellStyle name="RM" xfId="12565"/>
    <cellStyle name="rodape" xfId="12566"/>
    <cellStyle name="s" xfId="12567"/>
    <cellStyle name="s 2" xfId="12568"/>
    <cellStyle name="s 3" xfId="12569"/>
    <cellStyle name="s_DCFLBO Code" xfId="12570"/>
    <cellStyle name="s_DCFLBO Code_1" xfId="12571"/>
    <cellStyle name="s_DCFLBO Code_1 2" xfId="12572"/>
    <cellStyle name="s_DCFLBO Code_1 3" xfId="12573"/>
    <cellStyle name="Saída 10" xfId="1687"/>
    <cellStyle name="Saída 10 2" xfId="12574"/>
    <cellStyle name="Saída 10 2 2" xfId="12575"/>
    <cellStyle name="Saída 10 2 2 2" xfId="12576"/>
    <cellStyle name="Saída 10 2 3" xfId="12577"/>
    <cellStyle name="Saída 10 2 3 2" xfId="12578"/>
    <cellStyle name="Saída 10 2 4" xfId="12579"/>
    <cellStyle name="Saída 10 2 4 2" xfId="12580"/>
    <cellStyle name="Saída 10 2 5" xfId="12581"/>
    <cellStyle name="Saída 10 2 5 2" xfId="12582"/>
    <cellStyle name="Saída 10 3" xfId="12583"/>
    <cellStyle name="Saída 10 3 2" xfId="12584"/>
    <cellStyle name="Saída 10 3 2 2" xfId="12585"/>
    <cellStyle name="Saída 10 3 3" xfId="12586"/>
    <cellStyle name="Saída 10 3 3 2" xfId="12587"/>
    <cellStyle name="Saída 10 3 4" xfId="12588"/>
    <cellStyle name="Saída 10 3 4 2" xfId="12589"/>
    <cellStyle name="Saída 10 3 5" xfId="12590"/>
    <cellStyle name="Saída 10 3 5 2" xfId="12591"/>
    <cellStyle name="Saída 10 4" xfId="12592"/>
    <cellStyle name="Saída 10 4 2" xfId="12593"/>
    <cellStyle name="Saída 10 5" xfId="12594"/>
    <cellStyle name="Saída 10 5 2" xfId="12595"/>
    <cellStyle name="Saída 10 6" xfId="12596"/>
    <cellStyle name="Saída 10 6 2" xfId="12597"/>
    <cellStyle name="Saída 10 7" xfId="12598"/>
    <cellStyle name="Saída 10 7 2" xfId="12599"/>
    <cellStyle name="Saída 11" xfId="1688"/>
    <cellStyle name="Saída 11 2" xfId="12600"/>
    <cellStyle name="Saída 11 2 2" xfId="12601"/>
    <cellStyle name="Saída 11 2 2 2" xfId="12602"/>
    <cellStyle name="Saída 11 2 3" xfId="12603"/>
    <cellStyle name="Saída 11 2 3 2" xfId="12604"/>
    <cellStyle name="Saída 11 2 4" xfId="12605"/>
    <cellStyle name="Saída 11 2 4 2" xfId="12606"/>
    <cellStyle name="Saída 11 2 5" xfId="12607"/>
    <cellStyle name="Saída 11 2 5 2" xfId="12608"/>
    <cellStyle name="Saída 11 3" xfId="12609"/>
    <cellStyle name="Saída 11 3 2" xfId="12610"/>
    <cellStyle name="Saída 11 3 2 2" xfId="12611"/>
    <cellStyle name="Saída 11 3 3" xfId="12612"/>
    <cellStyle name="Saída 11 3 3 2" xfId="12613"/>
    <cellStyle name="Saída 11 3 4" xfId="12614"/>
    <cellStyle name="Saída 11 3 4 2" xfId="12615"/>
    <cellStyle name="Saída 11 3 5" xfId="12616"/>
    <cellStyle name="Saída 11 3 5 2" xfId="12617"/>
    <cellStyle name="Saída 11 4" xfId="12618"/>
    <cellStyle name="Saída 11 4 2" xfId="12619"/>
    <cellStyle name="Saída 11 5" xfId="12620"/>
    <cellStyle name="Saída 11 5 2" xfId="12621"/>
    <cellStyle name="Saída 11 6" xfId="12622"/>
    <cellStyle name="Saída 11 6 2" xfId="12623"/>
    <cellStyle name="Saída 11 7" xfId="12624"/>
    <cellStyle name="Saída 11 7 2" xfId="12625"/>
    <cellStyle name="Saída 12" xfId="1689"/>
    <cellStyle name="Saída 12 2" xfId="12626"/>
    <cellStyle name="Saída 12 2 2" xfId="12627"/>
    <cellStyle name="Saída 12 2 2 2" xfId="12628"/>
    <cellStyle name="Saída 12 2 3" xfId="12629"/>
    <cellStyle name="Saída 12 2 3 2" xfId="12630"/>
    <cellStyle name="Saída 12 2 4" xfId="12631"/>
    <cellStyle name="Saída 12 2 4 2" xfId="12632"/>
    <cellStyle name="Saída 12 2 5" xfId="12633"/>
    <cellStyle name="Saída 12 2 5 2" xfId="12634"/>
    <cellStyle name="Saída 12 3" xfId="12635"/>
    <cellStyle name="Saída 12 3 2" xfId="12636"/>
    <cellStyle name="Saída 12 3 2 2" xfId="12637"/>
    <cellStyle name="Saída 12 3 3" xfId="12638"/>
    <cellStyle name="Saída 12 3 3 2" xfId="12639"/>
    <cellStyle name="Saída 12 3 4" xfId="12640"/>
    <cellStyle name="Saída 12 3 4 2" xfId="12641"/>
    <cellStyle name="Saída 12 3 5" xfId="12642"/>
    <cellStyle name="Saída 12 3 5 2" xfId="12643"/>
    <cellStyle name="Saída 12 4" xfId="12644"/>
    <cellStyle name="Saída 12 4 2" xfId="12645"/>
    <cellStyle name="Saída 12 5" xfId="12646"/>
    <cellStyle name="Saída 12 5 2" xfId="12647"/>
    <cellStyle name="Saída 12 6" xfId="12648"/>
    <cellStyle name="Saída 12 6 2" xfId="12649"/>
    <cellStyle name="Saída 12 7" xfId="12650"/>
    <cellStyle name="Saída 12 7 2" xfId="12651"/>
    <cellStyle name="Saída 13" xfId="12652"/>
    <cellStyle name="Saída 13 2" xfId="12653"/>
    <cellStyle name="Saída 13 2 2" xfId="12654"/>
    <cellStyle name="Saída 13 2 2 2" xfId="12655"/>
    <cellStyle name="Saída 13 2 3" xfId="12656"/>
    <cellStyle name="Saída 13 2 3 2" xfId="12657"/>
    <cellStyle name="Saída 13 2 4" xfId="12658"/>
    <cellStyle name="Saída 13 2 4 2" xfId="12659"/>
    <cellStyle name="Saída 13 2 5" xfId="12660"/>
    <cellStyle name="Saída 13 2 5 2" xfId="12661"/>
    <cellStyle name="Saída 13 3" xfId="12662"/>
    <cellStyle name="Saída 13 3 2" xfId="12663"/>
    <cellStyle name="Saída 13 3 2 2" xfId="12664"/>
    <cellStyle name="Saída 13 3 3" xfId="12665"/>
    <cellStyle name="Saída 13 3 3 2" xfId="12666"/>
    <cellStyle name="Saída 13 3 4" xfId="12667"/>
    <cellStyle name="Saída 13 3 4 2" xfId="12668"/>
    <cellStyle name="Saída 13 3 5" xfId="12669"/>
    <cellStyle name="Saída 13 3 5 2" xfId="12670"/>
    <cellStyle name="Saída 13 4" xfId="12671"/>
    <cellStyle name="Saída 13 4 2" xfId="12672"/>
    <cellStyle name="Saída 13 5" xfId="12673"/>
    <cellStyle name="Saída 13 5 2" xfId="12674"/>
    <cellStyle name="Saída 13 6" xfId="12675"/>
    <cellStyle name="Saída 13 6 2" xfId="12676"/>
    <cellStyle name="Saída 13 7" xfId="12677"/>
    <cellStyle name="Saída 13 7 2" xfId="12678"/>
    <cellStyle name="Saída 14" xfId="12679"/>
    <cellStyle name="Saída 14 2" xfId="12680"/>
    <cellStyle name="Saída 14 2 2" xfId="12681"/>
    <cellStyle name="Saída 14 2 2 2" xfId="12682"/>
    <cellStyle name="Saída 14 2 3" xfId="12683"/>
    <cellStyle name="Saída 14 2 3 2" xfId="12684"/>
    <cellStyle name="Saída 14 2 4" xfId="12685"/>
    <cellStyle name="Saída 14 2 4 2" xfId="12686"/>
    <cellStyle name="Saída 14 2 5" xfId="12687"/>
    <cellStyle name="Saída 14 2 5 2" xfId="12688"/>
    <cellStyle name="Saída 14 3" xfId="12689"/>
    <cellStyle name="Saída 14 3 2" xfId="12690"/>
    <cellStyle name="Saída 14 3 2 2" xfId="12691"/>
    <cellStyle name="Saída 14 3 3" xfId="12692"/>
    <cellStyle name="Saída 14 3 3 2" xfId="12693"/>
    <cellStyle name="Saída 14 3 4" xfId="12694"/>
    <cellStyle name="Saída 14 3 4 2" xfId="12695"/>
    <cellStyle name="Saída 14 3 5" xfId="12696"/>
    <cellStyle name="Saída 14 3 5 2" xfId="12697"/>
    <cellStyle name="Saída 14 4" xfId="12698"/>
    <cellStyle name="Saída 14 4 2" xfId="12699"/>
    <cellStyle name="Saída 14 5" xfId="12700"/>
    <cellStyle name="Saída 14 5 2" xfId="12701"/>
    <cellStyle name="Saída 14 6" xfId="12702"/>
    <cellStyle name="Saída 14 6 2" xfId="12703"/>
    <cellStyle name="Saída 14 7" xfId="12704"/>
    <cellStyle name="Saída 14 7 2" xfId="12705"/>
    <cellStyle name="Saída 15" xfId="12706"/>
    <cellStyle name="Saída 15 2" xfId="12707"/>
    <cellStyle name="Saída 15 2 2" xfId="12708"/>
    <cellStyle name="Saída 15 2 2 2" xfId="12709"/>
    <cellStyle name="Saída 15 2 3" xfId="12710"/>
    <cellStyle name="Saída 15 2 3 2" xfId="12711"/>
    <cellStyle name="Saída 15 2 4" xfId="12712"/>
    <cellStyle name="Saída 15 2 4 2" xfId="12713"/>
    <cellStyle name="Saída 15 2 5" xfId="12714"/>
    <cellStyle name="Saída 15 2 5 2" xfId="12715"/>
    <cellStyle name="Saída 15 3" xfId="12716"/>
    <cellStyle name="Saída 15 3 2" xfId="12717"/>
    <cellStyle name="Saída 15 3 2 2" xfId="12718"/>
    <cellStyle name="Saída 15 3 3" xfId="12719"/>
    <cellStyle name="Saída 15 3 3 2" xfId="12720"/>
    <cellStyle name="Saída 15 3 4" xfId="12721"/>
    <cellStyle name="Saída 15 3 4 2" xfId="12722"/>
    <cellStyle name="Saída 15 3 5" xfId="12723"/>
    <cellStyle name="Saída 15 3 5 2" xfId="12724"/>
    <cellStyle name="Saída 15 4" xfId="12725"/>
    <cellStyle name="Saída 15 4 2" xfId="12726"/>
    <cellStyle name="Saída 15 5" xfId="12727"/>
    <cellStyle name="Saída 15 5 2" xfId="12728"/>
    <cellStyle name="Saída 15 6" xfId="12729"/>
    <cellStyle name="Saída 15 6 2" xfId="12730"/>
    <cellStyle name="Saída 15 7" xfId="12731"/>
    <cellStyle name="Saída 15 7 2" xfId="12732"/>
    <cellStyle name="Saída 16" xfId="12733"/>
    <cellStyle name="Saída 16 2" xfId="12734"/>
    <cellStyle name="Saída 16 2 2" xfId="12735"/>
    <cellStyle name="Saída 16 2 2 2" xfId="12736"/>
    <cellStyle name="Saída 16 2 3" xfId="12737"/>
    <cellStyle name="Saída 16 2 3 2" xfId="12738"/>
    <cellStyle name="Saída 16 2 4" xfId="12739"/>
    <cellStyle name="Saída 16 2 4 2" xfId="12740"/>
    <cellStyle name="Saída 16 2 5" xfId="12741"/>
    <cellStyle name="Saída 16 2 5 2" xfId="12742"/>
    <cellStyle name="Saída 16 3" xfId="12743"/>
    <cellStyle name="Saída 16 3 2" xfId="12744"/>
    <cellStyle name="Saída 16 3 2 2" xfId="12745"/>
    <cellStyle name="Saída 16 3 3" xfId="12746"/>
    <cellStyle name="Saída 16 3 3 2" xfId="12747"/>
    <cellStyle name="Saída 16 3 4" xfId="12748"/>
    <cellStyle name="Saída 16 3 4 2" xfId="12749"/>
    <cellStyle name="Saída 16 3 5" xfId="12750"/>
    <cellStyle name="Saída 16 3 5 2" xfId="12751"/>
    <cellStyle name="Saída 16 4" xfId="12752"/>
    <cellStyle name="Saída 16 4 2" xfId="12753"/>
    <cellStyle name="Saída 16 5" xfId="12754"/>
    <cellStyle name="Saída 16 5 2" xfId="12755"/>
    <cellStyle name="Saída 16 6" xfId="12756"/>
    <cellStyle name="Saída 16 6 2" xfId="12757"/>
    <cellStyle name="Saída 16 7" xfId="12758"/>
    <cellStyle name="Saída 16 7 2" xfId="12759"/>
    <cellStyle name="Saída 2" xfId="1690"/>
    <cellStyle name="Saída 2 10" xfId="12760"/>
    <cellStyle name="Saída 2 10 2" xfId="12761"/>
    <cellStyle name="Saída 2 11" xfId="12762"/>
    <cellStyle name="Saída 2 11 2" xfId="12763"/>
    <cellStyle name="Saída 2 12" xfId="12764"/>
    <cellStyle name="Saída 2 12 2" xfId="12765"/>
    <cellStyle name="Saída 2 13" xfId="12766"/>
    <cellStyle name="Saída 2 13 2" xfId="12767"/>
    <cellStyle name="Saída 2 2" xfId="1691"/>
    <cellStyle name="Saída 2 2 10" xfId="12768"/>
    <cellStyle name="Saída 2 2 10 2" xfId="12769"/>
    <cellStyle name="Saída 2 2 11" xfId="12770"/>
    <cellStyle name="Saída 2 2 11 2" xfId="12771"/>
    <cellStyle name="Saída 2 2 12" xfId="12772"/>
    <cellStyle name="Saída 2 2 12 2" xfId="12773"/>
    <cellStyle name="Saída 2 2 2" xfId="2474"/>
    <cellStyle name="Saída 2 2 2 2" xfId="2475"/>
    <cellStyle name="Saída 2 2 2 2 2" xfId="12774"/>
    <cellStyle name="Saída 2 2 2 2 2 2" xfId="12775"/>
    <cellStyle name="Saída 2 2 2 2 2 2 2" xfId="12776"/>
    <cellStyle name="Saída 2 2 2 2 2 3" xfId="12777"/>
    <cellStyle name="Saída 2 2 2 2 2 3 2" xfId="12778"/>
    <cellStyle name="Saída 2 2 2 2 2 4" xfId="12779"/>
    <cellStyle name="Saída 2 2 2 2 2 4 2" xfId="12780"/>
    <cellStyle name="Saída 2 2 2 2 2 5" xfId="12781"/>
    <cellStyle name="Saída 2 2 2 2 2 5 2" xfId="12782"/>
    <cellStyle name="Saída 2 2 2 2 3" xfId="12783"/>
    <cellStyle name="Saída 2 2 2 2 3 2" xfId="12784"/>
    <cellStyle name="Saída 2 2 2 2 3 2 2" xfId="12785"/>
    <cellStyle name="Saída 2 2 2 2 3 3" xfId="12786"/>
    <cellStyle name="Saída 2 2 2 2 3 3 2" xfId="12787"/>
    <cellStyle name="Saída 2 2 2 2 3 4" xfId="12788"/>
    <cellStyle name="Saída 2 2 2 2 3 4 2" xfId="12789"/>
    <cellStyle name="Saída 2 2 2 2 3 5" xfId="12790"/>
    <cellStyle name="Saída 2 2 2 2 3 5 2" xfId="12791"/>
    <cellStyle name="Saída 2 2 2 2 4" xfId="12792"/>
    <cellStyle name="Saída 2 2 2 2 4 2" xfId="12793"/>
    <cellStyle name="Saída 2 2 2 2 5" xfId="12794"/>
    <cellStyle name="Saída 2 2 2 2 5 2" xfId="12795"/>
    <cellStyle name="Saída 2 2 2 2 6" xfId="12796"/>
    <cellStyle name="Saída 2 2 2 2 6 2" xfId="12797"/>
    <cellStyle name="Saída 2 2 2 2 7" xfId="12798"/>
    <cellStyle name="Saída 2 2 2 2 7 2" xfId="12799"/>
    <cellStyle name="Saída 2 2 2 3" xfId="12800"/>
    <cellStyle name="Saída 2 2 2 3 2" xfId="12801"/>
    <cellStyle name="Saída 2 2 2 3 2 2" xfId="12802"/>
    <cellStyle name="Saída 2 2 2 3 3" xfId="12803"/>
    <cellStyle name="Saída 2 2 2 3 3 2" xfId="12804"/>
    <cellStyle name="Saída 2 2 2 3 4" xfId="12805"/>
    <cellStyle name="Saída 2 2 2 3 4 2" xfId="12806"/>
    <cellStyle name="Saída 2 2 2 3 5" xfId="12807"/>
    <cellStyle name="Saída 2 2 2 3 5 2" xfId="12808"/>
    <cellStyle name="Saída 2 2 2 4" xfId="12809"/>
    <cellStyle name="Saída 2 2 2 4 2" xfId="12810"/>
    <cellStyle name="Saída 2 2 2 4 2 2" xfId="12811"/>
    <cellStyle name="Saída 2 2 2 4 3" xfId="12812"/>
    <cellStyle name="Saída 2 2 2 4 3 2" xfId="12813"/>
    <cellStyle name="Saída 2 2 2 4 4" xfId="12814"/>
    <cellStyle name="Saída 2 2 2 4 4 2" xfId="12815"/>
    <cellStyle name="Saída 2 2 2 4 5" xfId="12816"/>
    <cellStyle name="Saída 2 2 2 4 5 2" xfId="12817"/>
    <cellStyle name="Saída 2 2 2 5" xfId="12818"/>
    <cellStyle name="Saída 2 2 2 5 2" xfId="12819"/>
    <cellStyle name="Saída 2 2 2 6" xfId="12820"/>
    <cellStyle name="Saída 2 2 2 6 2" xfId="12821"/>
    <cellStyle name="Saída 2 2 2 7" xfId="12822"/>
    <cellStyle name="Saída 2 2 2 7 2" xfId="12823"/>
    <cellStyle name="Saída 2 2 2 8" xfId="12824"/>
    <cellStyle name="Saída 2 2 2 8 2" xfId="12825"/>
    <cellStyle name="Saída 2 2 3" xfId="2476"/>
    <cellStyle name="Saída 2 2 3 2" xfId="2477"/>
    <cellStyle name="Saída 2 2 3 2 2" xfId="12826"/>
    <cellStyle name="Saída 2 2 3 2 2 2" xfId="12827"/>
    <cellStyle name="Saída 2 2 3 2 2 2 2" xfId="12828"/>
    <cellStyle name="Saída 2 2 3 2 2 3" xfId="12829"/>
    <cellStyle name="Saída 2 2 3 2 2 3 2" xfId="12830"/>
    <cellStyle name="Saída 2 2 3 2 2 4" xfId="12831"/>
    <cellStyle name="Saída 2 2 3 2 2 4 2" xfId="12832"/>
    <cellStyle name="Saída 2 2 3 2 2 5" xfId="12833"/>
    <cellStyle name="Saída 2 2 3 2 2 5 2" xfId="12834"/>
    <cellStyle name="Saída 2 2 3 2 3" xfId="12835"/>
    <cellStyle name="Saída 2 2 3 2 3 2" xfId="12836"/>
    <cellStyle name="Saída 2 2 3 2 3 2 2" xfId="12837"/>
    <cellStyle name="Saída 2 2 3 2 3 3" xfId="12838"/>
    <cellStyle name="Saída 2 2 3 2 3 3 2" xfId="12839"/>
    <cellStyle name="Saída 2 2 3 2 3 4" xfId="12840"/>
    <cellStyle name="Saída 2 2 3 2 3 4 2" xfId="12841"/>
    <cellStyle name="Saída 2 2 3 2 3 5" xfId="12842"/>
    <cellStyle name="Saída 2 2 3 2 3 5 2" xfId="12843"/>
    <cellStyle name="Saída 2 2 3 2 4" xfId="12844"/>
    <cellStyle name="Saída 2 2 3 2 4 2" xfId="12845"/>
    <cellStyle name="Saída 2 2 3 2 5" xfId="12846"/>
    <cellStyle name="Saída 2 2 3 2 5 2" xfId="12847"/>
    <cellStyle name="Saída 2 2 3 2 6" xfId="12848"/>
    <cellStyle name="Saída 2 2 3 2 6 2" xfId="12849"/>
    <cellStyle name="Saída 2 2 3 2 7" xfId="12850"/>
    <cellStyle name="Saída 2 2 3 2 7 2" xfId="12851"/>
    <cellStyle name="Saída 2 2 3 3" xfId="12852"/>
    <cellStyle name="Saída 2 2 3 3 2" xfId="12853"/>
    <cellStyle name="Saída 2 2 3 3 2 2" xfId="12854"/>
    <cellStyle name="Saída 2 2 3 3 3" xfId="12855"/>
    <cellStyle name="Saída 2 2 3 3 3 2" xfId="12856"/>
    <cellStyle name="Saída 2 2 3 3 4" xfId="12857"/>
    <cellStyle name="Saída 2 2 3 3 4 2" xfId="12858"/>
    <cellStyle name="Saída 2 2 3 3 5" xfId="12859"/>
    <cellStyle name="Saída 2 2 3 3 5 2" xfId="12860"/>
    <cellStyle name="Saída 2 2 3 4" xfId="12861"/>
    <cellStyle name="Saída 2 2 3 4 2" xfId="12862"/>
    <cellStyle name="Saída 2 2 3 4 2 2" xfId="12863"/>
    <cellStyle name="Saída 2 2 3 4 3" xfId="12864"/>
    <cellStyle name="Saída 2 2 3 4 3 2" xfId="12865"/>
    <cellStyle name="Saída 2 2 3 4 4" xfId="12866"/>
    <cellStyle name="Saída 2 2 3 4 4 2" xfId="12867"/>
    <cellStyle name="Saída 2 2 3 4 5" xfId="12868"/>
    <cellStyle name="Saída 2 2 3 4 5 2" xfId="12869"/>
    <cellStyle name="Saída 2 2 3 5" xfId="12870"/>
    <cellStyle name="Saída 2 2 3 5 2" xfId="12871"/>
    <cellStyle name="Saída 2 2 3 6" xfId="12872"/>
    <cellStyle name="Saída 2 2 3 6 2" xfId="12873"/>
    <cellStyle name="Saída 2 2 3 7" xfId="12874"/>
    <cellStyle name="Saída 2 2 3 7 2" xfId="12875"/>
    <cellStyle name="Saída 2 2 3 8" xfId="12876"/>
    <cellStyle name="Saída 2 2 3 8 2" xfId="12877"/>
    <cellStyle name="Saída 2 2 4" xfId="2478"/>
    <cellStyle name="Saída 2 2 4 2" xfId="2479"/>
    <cellStyle name="Saída 2 2 4 2 2" xfId="12878"/>
    <cellStyle name="Saída 2 2 4 2 2 2" xfId="12879"/>
    <cellStyle name="Saída 2 2 4 2 2 2 2" xfId="12880"/>
    <cellStyle name="Saída 2 2 4 2 2 3" xfId="12881"/>
    <cellStyle name="Saída 2 2 4 2 2 3 2" xfId="12882"/>
    <cellStyle name="Saída 2 2 4 2 2 4" xfId="12883"/>
    <cellStyle name="Saída 2 2 4 2 2 4 2" xfId="12884"/>
    <cellStyle name="Saída 2 2 4 2 2 5" xfId="12885"/>
    <cellStyle name="Saída 2 2 4 2 2 5 2" xfId="12886"/>
    <cellStyle name="Saída 2 2 4 2 3" xfId="12887"/>
    <cellStyle name="Saída 2 2 4 2 3 2" xfId="12888"/>
    <cellStyle name="Saída 2 2 4 2 3 2 2" xfId="12889"/>
    <cellStyle name="Saída 2 2 4 2 3 3" xfId="12890"/>
    <cellStyle name="Saída 2 2 4 2 3 3 2" xfId="12891"/>
    <cellStyle name="Saída 2 2 4 2 3 4" xfId="12892"/>
    <cellStyle name="Saída 2 2 4 2 3 4 2" xfId="12893"/>
    <cellStyle name="Saída 2 2 4 2 3 5" xfId="12894"/>
    <cellStyle name="Saída 2 2 4 2 3 5 2" xfId="12895"/>
    <cellStyle name="Saída 2 2 4 2 4" xfId="12896"/>
    <cellStyle name="Saída 2 2 4 2 4 2" xfId="12897"/>
    <cellStyle name="Saída 2 2 4 2 5" xfId="12898"/>
    <cellStyle name="Saída 2 2 4 2 5 2" xfId="12899"/>
    <cellStyle name="Saída 2 2 4 2 6" xfId="12900"/>
    <cellStyle name="Saída 2 2 4 2 6 2" xfId="12901"/>
    <cellStyle name="Saída 2 2 4 2 7" xfId="12902"/>
    <cellStyle name="Saída 2 2 4 2 7 2" xfId="12903"/>
    <cellStyle name="Saída 2 2 4 3" xfId="12904"/>
    <cellStyle name="Saída 2 2 4 3 2" xfId="12905"/>
    <cellStyle name="Saída 2 2 4 3 2 2" xfId="12906"/>
    <cellStyle name="Saída 2 2 4 3 3" xfId="12907"/>
    <cellStyle name="Saída 2 2 4 3 3 2" xfId="12908"/>
    <cellStyle name="Saída 2 2 4 3 4" xfId="12909"/>
    <cellStyle name="Saída 2 2 4 3 4 2" xfId="12910"/>
    <cellStyle name="Saída 2 2 4 3 5" xfId="12911"/>
    <cellStyle name="Saída 2 2 4 3 5 2" xfId="12912"/>
    <cellStyle name="Saída 2 2 4 4" xfId="12913"/>
    <cellStyle name="Saída 2 2 4 4 2" xfId="12914"/>
    <cellStyle name="Saída 2 2 4 4 2 2" xfId="12915"/>
    <cellStyle name="Saída 2 2 4 4 3" xfId="12916"/>
    <cellStyle name="Saída 2 2 4 4 3 2" xfId="12917"/>
    <cellStyle name="Saída 2 2 4 4 4" xfId="12918"/>
    <cellStyle name="Saída 2 2 4 4 4 2" xfId="12919"/>
    <cellStyle name="Saída 2 2 4 4 5" xfId="12920"/>
    <cellStyle name="Saída 2 2 4 4 5 2" xfId="12921"/>
    <cellStyle name="Saída 2 2 4 5" xfId="12922"/>
    <cellStyle name="Saída 2 2 4 5 2" xfId="12923"/>
    <cellStyle name="Saída 2 2 4 6" xfId="12924"/>
    <cellStyle name="Saída 2 2 4 6 2" xfId="12925"/>
    <cellStyle name="Saída 2 2 4 7" xfId="12926"/>
    <cellStyle name="Saída 2 2 4 7 2" xfId="12927"/>
    <cellStyle name="Saída 2 2 4 8" xfId="12928"/>
    <cellStyle name="Saída 2 2 4 8 2" xfId="12929"/>
    <cellStyle name="Saída 2 2 5" xfId="2480"/>
    <cellStyle name="Saída 2 2 5 2" xfId="2481"/>
    <cellStyle name="Saída 2 2 5 2 2" xfId="12930"/>
    <cellStyle name="Saída 2 2 5 2 2 2" xfId="12931"/>
    <cellStyle name="Saída 2 2 5 2 2 2 2" xfId="12932"/>
    <cellStyle name="Saída 2 2 5 2 2 3" xfId="12933"/>
    <cellStyle name="Saída 2 2 5 2 2 3 2" xfId="12934"/>
    <cellStyle name="Saída 2 2 5 2 2 4" xfId="12935"/>
    <cellStyle name="Saída 2 2 5 2 2 4 2" xfId="12936"/>
    <cellStyle name="Saída 2 2 5 2 2 5" xfId="12937"/>
    <cellStyle name="Saída 2 2 5 2 2 5 2" xfId="12938"/>
    <cellStyle name="Saída 2 2 5 2 3" xfId="12939"/>
    <cellStyle name="Saída 2 2 5 2 3 2" xfId="12940"/>
    <cellStyle name="Saída 2 2 5 2 3 2 2" xfId="12941"/>
    <cellStyle name="Saída 2 2 5 2 3 3" xfId="12942"/>
    <cellStyle name="Saída 2 2 5 2 3 3 2" xfId="12943"/>
    <cellStyle name="Saída 2 2 5 2 3 4" xfId="12944"/>
    <cellStyle name="Saída 2 2 5 2 3 4 2" xfId="12945"/>
    <cellStyle name="Saída 2 2 5 2 3 5" xfId="12946"/>
    <cellStyle name="Saída 2 2 5 2 3 5 2" xfId="12947"/>
    <cellStyle name="Saída 2 2 5 2 4" xfId="12948"/>
    <cellStyle name="Saída 2 2 5 2 4 2" xfId="12949"/>
    <cellStyle name="Saída 2 2 5 2 5" xfId="12950"/>
    <cellStyle name="Saída 2 2 5 2 5 2" xfId="12951"/>
    <cellStyle name="Saída 2 2 5 2 6" xfId="12952"/>
    <cellStyle name="Saída 2 2 5 2 6 2" xfId="12953"/>
    <cellStyle name="Saída 2 2 5 2 7" xfId="12954"/>
    <cellStyle name="Saída 2 2 5 2 7 2" xfId="12955"/>
    <cellStyle name="Saída 2 2 5 3" xfId="12956"/>
    <cellStyle name="Saída 2 2 5 3 2" xfId="12957"/>
    <cellStyle name="Saída 2 2 5 3 2 2" xfId="12958"/>
    <cellStyle name="Saída 2 2 5 3 3" xfId="12959"/>
    <cellStyle name="Saída 2 2 5 3 3 2" xfId="12960"/>
    <cellStyle name="Saída 2 2 5 3 4" xfId="12961"/>
    <cellStyle name="Saída 2 2 5 3 4 2" xfId="12962"/>
    <cellStyle name="Saída 2 2 5 3 5" xfId="12963"/>
    <cellStyle name="Saída 2 2 5 3 5 2" xfId="12964"/>
    <cellStyle name="Saída 2 2 5 4" xfId="12965"/>
    <cellStyle name="Saída 2 2 5 4 2" xfId="12966"/>
    <cellStyle name="Saída 2 2 5 4 2 2" xfId="12967"/>
    <cellStyle name="Saída 2 2 5 4 3" xfId="12968"/>
    <cellStyle name="Saída 2 2 5 4 3 2" xfId="12969"/>
    <cellStyle name="Saída 2 2 5 4 4" xfId="12970"/>
    <cellStyle name="Saída 2 2 5 4 4 2" xfId="12971"/>
    <cellStyle name="Saída 2 2 5 4 5" xfId="12972"/>
    <cellStyle name="Saída 2 2 5 4 5 2" xfId="12973"/>
    <cellStyle name="Saída 2 2 5 5" xfId="12974"/>
    <cellStyle name="Saída 2 2 5 5 2" xfId="12975"/>
    <cellStyle name="Saída 2 2 5 6" xfId="12976"/>
    <cellStyle name="Saída 2 2 5 6 2" xfId="12977"/>
    <cellStyle name="Saída 2 2 5 7" xfId="12978"/>
    <cellStyle name="Saída 2 2 5 7 2" xfId="12979"/>
    <cellStyle name="Saída 2 2 5 8" xfId="12980"/>
    <cellStyle name="Saída 2 2 5 8 2" xfId="12981"/>
    <cellStyle name="Saída 2 2 6" xfId="2482"/>
    <cellStyle name="Saída 2 2 6 2" xfId="12982"/>
    <cellStyle name="Saída 2 2 6 2 2" xfId="12983"/>
    <cellStyle name="Saída 2 2 6 2 2 2" xfId="12984"/>
    <cellStyle name="Saída 2 2 6 2 3" xfId="12985"/>
    <cellStyle name="Saída 2 2 6 2 3 2" xfId="12986"/>
    <cellStyle name="Saída 2 2 6 2 4" xfId="12987"/>
    <cellStyle name="Saída 2 2 6 2 4 2" xfId="12988"/>
    <cellStyle name="Saída 2 2 6 2 5" xfId="12989"/>
    <cellStyle name="Saída 2 2 6 2 5 2" xfId="12990"/>
    <cellStyle name="Saída 2 2 6 3" xfId="12991"/>
    <cellStyle name="Saída 2 2 6 3 2" xfId="12992"/>
    <cellStyle name="Saída 2 2 6 3 2 2" xfId="12993"/>
    <cellStyle name="Saída 2 2 6 3 3" xfId="12994"/>
    <cellStyle name="Saída 2 2 6 3 3 2" xfId="12995"/>
    <cellStyle name="Saída 2 2 6 3 4" xfId="12996"/>
    <cellStyle name="Saída 2 2 6 3 4 2" xfId="12997"/>
    <cellStyle name="Saída 2 2 6 3 5" xfId="12998"/>
    <cellStyle name="Saída 2 2 6 3 5 2" xfId="12999"/>
    <cellStyle name="Saída 2 2 6 4" xfId="13000"/>
    <cellStyle name="Saída 2 2 6 4 2" xfId="13001"/>
    <cellStyle name="Saída 2 2 6 5" xfId="13002"/>
    <cellStyle name="Saída 2 2 6 5 2" xfId="13003"/>
    <cellStyle name="Saída 2 2 6 6" xfId="13004"/>
    <cellStyle name="Saída 2 2 6 6 2" xfId="13005"/>
    <cellStyle name="Saída 2 2 6 7" xfId="13006"/>
    <cellStyle name="Saída 2 2 6 7 2" xfId="13007"/>
    <cellStyle name="Saída 2 2 7" xfId="13008"/>
    <cellStyle name="Saída 2 2 7 2" xfId="13009"/>
    <cellStyle name="Saída 2 2 7 2 2" xfId="13010"/>
    <cellStyle name="Saída 2 2 7 3" xfId="13011"/>
    <cellStyle name="Saída 2 2 7 3 2" xfId="13012"/>
    <cellStyle name="Saída 2 2 7 4" xfId="13013"/>
    <cellStyle name="Saída 2 2 7 4 2" xfId="13014"/>
    <cellStyle name="Saída 2 2 7 5" xfId="13015"/>
    <cellStyle name="Saída 2 2 7 5 2" xfId="13016"/>
    <cellStyle name="Saída 2 2 8" xfId="13017"/>
    <cellStyle name="Saída 2 2 8 2" xfId="13018"/>
    <cellStyle name="Saída 2 2 8 2 2" xfId="13019"/>
    <cellStyle name="Saída 2 2 8 3" xfId="13020"/>
    <cellStyle name="Saída 2 2 8 3 2" xfId="13021"/>
    <cellStyle name="Saída 2 2 8 4" xfId="13022"/>
    <cellStyle name="Saída 2 2 8 4 2" xfId="13023"/>
    <cellStyle name="Saída 2 2 8 5" xfId="13024"/>
    <cellStyle name="Saída 2 2 8 5 2" xfId="13025"/>
    <cellStyle name="Saída 2 2 9" xfId="13026"/>
    <cellStyle name="Saída 2 2 9 2" xfId="13027"/>
    <cellStyle name="Saída 2 3" xfId="1692"/>
    <cellStyle name="Saída 2 3 2" xfId="2483"/>
    <cellStyle name="Saída 2 3 2 2" xfId="13028"/>
    <cellStyle name="Saída 2 3 2 2 2" xfId="13029"/>
    <cellStyle name="Saída 2 3 2 2 2 2" xfId="13030"/>
    <cellStyle name="Saída 2 3 2 2 3" xfId="13031"/>
    <cellStyle name="Saída 2 3 2 2 3 2" xfId="13032"/>
    <cellStyle name="Saída 2 3 2 2 4" xfId="13033"/>
    <cellStyle name="Saída 2 3 2 2 4 2" xfId="13034"/>
    <cellStyle name="Saída 2 3 2 2 5" xfId="13035"/>
    <cellStyle name="Saída 2 3 2 2 5 2" xfId="13036"/>
    <cellStyle name="Saída 2 3 2 3" xfId="13037"/>
    <cellStyle name="Saída 2 3 2 3 2" xfId="13038"/>
    <cellStyle name="Saída 2 3 2 3 2 2" xfId="13039"/>
    <cellStyle name="Saída 2 3 2 3 3" xfId="13040"/>
    <cellStyle name="Saída 2 3 2 3 3 2" xfId="13041"/>
    <cellStyle name="Saída 2 3 2 3 4" xfId="13042"/>
    <cellStyle name="Saída 2 3 2 3 4 2" xfId="13043"/>
    <cellStyle name="Saída 2 3 2 3 5" xfId="13044"/>
    <cellStyle name="Saída 2 3 2 3 5 2" xfId="13045"/>
    <cellStyle name="Saída 2 3 2 4" xfId="13046"/>
    <cellStyle name="Saída 2 3 2 4 2" xfId="13047"/>
    <cellStyle name="Saída 2 3 2 5" xfId="13048"/>
    <cellStyle name="Saída 2 3 2 5 2" xfId="13049"/>
    <cellStyle name="Saída 2 3 2 6" xfId="13050"/>
    <cellStyle name="Saída 2 3 2 6 2" xfId="13051"/>
    <cellStyle name="Saída 2 3 2 7" xfId="13052"/>
    <cellStyle name="Saída 2 3 2 7 2" xfId="13053"/>
    <cellStyle name="Saída 2 3 3" xfId="13054"/>
    <cellStyle name="Saída 2 3 3 2" xfId="13055"/>
    <cellStyle name="Saída 2 3 3 2 2" xfId="13056"/>
    <cellStyle name="Saída 2 3 3 3" xfId="13057"/>
    <cellStyle name="Saída 2 3 3 3 2" xfId="13058"/>
    <cellStyle name="Saída 2 3 3 4" xfId="13059"/>
    <cellStyle name="Saída 2 3 3 4 2" xfId="13060"/>
    <cellStyle name="Saída 2 3 3 5" xfId="13061"/>
    <cellStyle name="Saída 2 3 3 5 2" xfId="13062"/>
    <cellStyle name="Saída 2 3 4" xfId="13063"/>
    <cellStyle name="Saída 2 3 4 2" xfId="13064"/>
    <cellStyle name="Saída 2 3 4 2 2" xfId="13065"/>
    <cellStyle name="Saída 2 3 4 3" xfId="13066"/>
    <cellStyle name="Saída 2 3 4 3 2" xfId="13067"/>
    <cellStyle name="Saída 2 3 4 4" xfId="13068"/>
    <cellStyle name="Saída 2 3 4 4 2" xfId="13069"/>
    <cellStyle name="Saída 2 3 4 5" xfId="13070"/>
    <cellStyle name="Saída 2 3 4 5 2" xfId="13071"/>
    <cellStyle name="Saída 2 3 5" xfId="13072"/>
    <cellStyle name="Saída 2 3 5 2" xfId="13073"/>
    <cellStyle name="Saída 2 3 6" xfId="13074"/>
    <cellStyle name="Saída 2 3 6 2" xfId="13075"/>
    <cellStyle name="Saída 2 3 7" xfId="13076"/>
    <cellStyle name="Saída 2 3 7 2" xfId="13077"/>
    <cellStyle name="Saída 2 3 8" xfId="13078"/>
    <cellStyle name="Saída 2 3 8 2" xfId="13079"/>
    <cellStyle name="Saída 2 4" xfId="1693"/>
    <cellStyle name="Saída 2 4 2" xfId="2484"/>
    <cellStyle name="Saída 2 4 2 2" xfId="13080"/>
    <cellStyle name="Saída 2 4 2 2 2" xfId="13081"/>
    <cellStyle name="Saída 2 4 2 2 2 2" xfId="13082"/>
    <cellStyle name="Saída 2 4 2 2 3" xfId="13083"/>
    <cellStyle name="Saída 2 4 2 2 3 2" xfId="13084"/>
    <cellStyle name="Saída 2 4 2 2 4" xfId="13085"/>
    <cellStyle name="Saída 2 4 2 2 4 2" xfId="13086"/>
    <cellStyle name="Saída 2 4 2 2 5" xfId="13087"/>
    <cellStyle name="Saída 2 4 2 2 5 2" xfId="13088"/>
    <cellStyle name="Saída 2 4 2 3" xfId="13089"/>
    <cellStyle name="Saída 2 4 2 3 2" xfId="13090"/>
    <cellStyle name="Saída 2 4 2 3 2 2" xfId="13091"/>
    <cellStyle name="Saída 2 4 2 3 3" xfId="13092"/>
    <cellStyle name="Saída 2 4 2 3 3 2" xfId="13093"/>
    <cellStyle name="Saída 2 4 2 3 4" xfId="13094"/>
    <cellStyle name="Saída 2 4 2 3 4 2" xfId="13095"/>
    <cellStyle name="Saída 2 4 2 3 5" xfId="13096"/>
    <cellStyle name="Saída 2 4 2 3 5 2" xfId="13097"/>
    <cellStyle name="Saída 2 4 2 4" xfId="13098"/>
    <cellStyle name="Saída 2 4 2 4 2" xfId="13099"/>
    <cellStyle name="Saída 2 4 2 5" xfId="13100"/>
    <cellStyle name="Saída 2 4 2 5 2" xfId="13101"/>
    <cellStyle name="Saída 2 4 2 6" xfId="13102"/>
    <cellStyle name="Saída 2 4 2 6 2" xfId="13103"/>
    <cellStyle name="Saída 2 4 2 7" xfId="13104"/>
    <cellStyle name="Saída 2 4 2 7 2" xfId="13105"/>
    <cellStyle name="Saída 2 4 3" xfId="13106"/>
    <cellStyle name="Saída 2 4 3 2" xfId="13107"/>
    <cellStyle name="Saída 2 4 3 2 2" xfId="13108"/>
    <cellStyle name="Saída 2 4 3 3" xfId="13109"/>
    <cellStyle name="Saída 2 4 3 3 2" xfId="13110"/>
    <cellStyle name="Saída 2 4 3 4" xfId="13111"/>
    <cellStyle name="Saída 2 4 3 4 2" xfId="13112"/>
    <cellStyle name="Saída 2 4 3 5" xfId="13113"/>
    <cellStyle name="Saída 2 4 3 5 2" xfId="13114"/>
    <cellStyle name="Saída 2 4 4" xfId="13115"/>
    <cellStyle name="Saída 2 4 4 2" xfId="13116"/>
    <cellStyle name="Saída 2 4 4 2 2" xfId="13117"/>
    <cellStyle name="Saída 2 4 4 3" xfId="13118"/>
    <cellStyle name="Saída 2 4 4 3 2" xfId="13119"/>
    <cellStyle name="Saída 2 4 4 4" xfId="13120"/>
    <cellStyle name="Saída 2 4 4 4 2" xfId="13121"/>
    <cellStyle name="Saída 2 4 4 5" xfId="13122"/>
    <cellStyle name="Saída 2 4 4 5 2" xfId="13123"/>
    <cellStyle name="Saída 2 4 5" xfId="13124"/>
    <cellStyle name="Saída 2 4 5 2" xfId="13125"/>
    <cellStyle name="Saída 2 4 6" xfId="13126"/>
    <cellStyle name="Saída 2 4 6 2" xfId="13127"/>
    <cellStyle name="Saída 2 4 7" xfId="13128"/>
    <cellStyle name="Saída 2 4 7 2" xfId="13129"/>
    <cellStyle name="Saída 2 4 8" xfId="13130"/>
    <cellStyle name="Saída 2 4 8 2" xfId="13131"/>
    <cellStyle name="Saída 2 5" xfId="1694"/>
    <cellStyle name="Saída 2 5 2" xfId="2485"/>
    <cellStyle name="Saída 2 5 2 2" xfId="13132"/>
    <cellStyle name="Saída 2 5 2 2 2" xfId="13133"/>
    <cellStyle name="Saída 2 5 2 2 2 2" xfId="13134"/>
    <cellStyle name="Saída 2 5 2 2 3" xfId="13135"/>
    <cellStyle name="Saída 2 5 2 2 3 2" xfId="13136"/>
    <cellStyle name="Saída 2 5 2 2 4" xfId="13137"/>
    <cellStyle name="Saída 2 5 2 2 4 2" xfId="13138"/>
    <cellStyle name="Saída 2 5 2 2 5" xfId="13139"/>
    <cellStyle name="Saída 2 5 2 2 5 2" xfId="13140"/>
    <cellStyle name="Saída 2 5 2 3" xfId="13141"/>
    <cellStyle name="Saída 2 5 2 3 2" xfId="13142"/>
    <cellStyle name="Saída 2 5 2 3 2 2" xfId="13143"/>
    <cellStyle name="Saída 2 5 2 3 3" xfId="13144"/>
    <cellStyle name="Saída 2 5 2 3 3 2" xfId="13145"/>
    <cellStyle name="Saída 2 5 2 3 4" xfId="13146"/>
    <cellStyle name="Saída 2 5 2 3 4 2" xfId="13147"/>
    <cellStyle name="Saída 2 5 2 3 5" xfId="13148"/>
    <cellStyle name="Saída 2 5 2 3 5 2" xfId="13149"/>
    <cellStyle name="Saída 2 5 2 4" xfId="13150"/>
    <cellStyle name="Saída 2 5 2 4 2" xfId="13151"/>
    <cellStyle name="Saída 2 5 2 5" xfId="13152"/>
    <cellStyle name="Saída 2 5 2 5 2" xfId="13153"/>
    <cellStyle name="Saída 2 5 2 6" xfId="13154"/>
    <cellStyle name="Saída 2 5 2 6 2" xfId="13155"/>
    <cellStyle name="Saída 2 5 2 7" xfId="13156"/>
    <cellStyle name="Saída 2 5 2 7 2" xfId="13157"/>
    <cellStyle name="Saída 2 5 3" xfId="13158"/>
    <cellStyle name="Saída 2 5 3 2" xfId="13159"/>
    <cellStyle name="Saída 2 5 3 2 2" xfId="13160"/>
    <cellStyle name="Saída 2 5 3 3" xfId="13161"/>
    <cellStyle name="Saída 2 5 3 3 2" xfId="13162"/>
    <cellStyle name="Saída 2 5 3 4" xfId="13163"/>
    <cellStyle name="Saída 2 5 3 4 2" xfId="13164"/>
    <cellStyle name="Saída 2 5 3 5" xfId="13165"/>
    <cellStyle name="Saída 2 5 3 5 2" xfId="13166"/>
    <cellStyle name="Saída 2 5 4" xfId="13167"/>
    <cellStyle name="Saída 2 5 4 2" xfId="13168"/>
    <cellStyle name="Saída 2 5 4 2 2" xfId="13169"/>
    <cellStyle name="Saída 2 5 4 3" xfId="13170"/>
    <cellStyle name="Saída 2 5 4 3 2" xfId="13171"/>
    <cellStyle name="Saída 2 5 4 4" xfId="13172"/>
    <cellStyle name="Saída 2 5 4 4 2" xfId="13173"/>
    <cellStyle name="Saída 2 5 4 5" xfId="13174"/>
    <cellStyle name="Saída 2 5 4 5 2" xfId="13175"/>
    <cellStyle name="Saída 2 5 5" xfId="13176"/>
    <cellStyle name="Saída 2 5 5 2" xfId="13177"/>
    <cellStyle name="Saída 2 5 6" xfId="13178"/>
    <cellStyle name="Saída 2 5 6 2" xfId="13179"/>
    <cellStyle name="Saída 2 5 7" xfId="13180"/>
    <cellStyle name="Saída 2 5 7 2" xfId="13181"/>
    <cellStyle name="Saída 2 5 8" xfId="13182"/>
    <cellStyle name="Saída 2 5 8 2" xfId="13183"/>
    <cellStyle name="Saída 2 6" xfId="1695"/>
    <cellStyle name="Saída 2 6 2" xfId="2486"/>
    <cellStyle name="Saída 2 6 2 2" xfId="13184"/>
    <cellStyle name="Saída 2 6 2 2 2" xfId="13185"/>
    <cellStyle name="Saída 2 6 2 2 2 2" xfId="13186"/>
    <cellStyle name="Saída 2 6 2 2 3" xfId="13187"/>
    <cellStyle name="Saída 2 6 2 2 3 2" xfId="13188"/>
    <cellStyle name="Saída 2 6 2 2 4" xfId="13189"/>
    <cellStyle name="Saída 2 6 2 2 4 2" xfId="13190"/>
    <cellStyle name="Saída 2 6 2 2 5" xfId="13191"/>
    <cellStyle name="Saída 2 6 2 2 5 2" xfId="13192"/>
    <cellStyle name="Saída 2 6 2 3" xfId="13193"/>
    <cellStyle name="Saída 2 6 2 3 2" xfId="13194"/>
    <cellStyle name="Saída 2 6 2 3 2 2" xfId="13195"/>
    <cellStyle name="Saída 2 6 2 3 3" xfId="13196"/>
    <cellStyle name="Saída 2 6 2 3 3 2" xfId="13197"/>
    <cellStyle name="Saída 2 6 2 3 4" xfId="13198"/>
    <cellStyle name="Saída 2 6 2 3 4 2" xfId="13199"/>
    <cellStyle name="Saída 2 6 2 3 5" xfId="13200"/>
    <cellStyle name="Saída 2 6 2 3 5 2" xfId="13201"/>
    <cellStyle name="Saída 2 6 2 4" xfId="13202"/>
    <cellStyle name="Saída 2 6 2 4 2" xfId="13203"/>
    <cellStyle name="Saída 2 6 2 5" xfId="13204"/>
    <cellStyle name="Saída 2 6 2 5 2" xfId="13205"/>
    <cellStyle name="Saída 2 6 2 6" xfId="13206"/>
    <cellStyle name="Saída 2 6 2 6 2" xfId="13207"/>
    <cellStyle name="Saída 2 6 2 7" xfId="13208"/>
    <cellStyle name="Saída 2 6 2 7 2" xfId="13209"/>
    <cellStyle name="Saída 2 6 3" xfId="13210"/>
    <cellStyle name="Saída 2 6 3 2" xfId="13211"/>
    <cellStyle name="Saída 2 6 3 2 2" xfId="13212"/>
    <cellStyle name="Saída 2 6 3 3" xfId="13213"/>
    <cellStyle name="Saída 2 6 3 3 2" xfId="13214"/>
    <cellStyle name="Saída 2 6 3 4" xfId="13215"/>
    <cellStyle name="Saída 2 6 3 4 2" xfId="13216"/>
    <cellStyle name="Saída 2 6 3 5" xfId="13217"/>
    <cellStyle name="Saída 2 6 3 5 2" xfId="13218"/>
    <cellStyle name="Saída 2 6 4" xfId="13219"/>
    <cellStyle name="Saída 2 6 4 2" xfId="13220"/>
    <cellStyle name="Saída 2 6 4 2 2" xfId="13221"/>
    <cellStyle name="Saída 2 6 4 3" xfId="13222"/>
    <cellStyle name="Saída 2 6 4 3 2" xfId="13223"/>
    <cellStyle name="Saída 2 6 4 4" xfId="13224"/>
    <cellStyle name="Saída 2 6 4 4 2" xfId="13225"/>
    <cellStyle name="Saída 2 6 4 5" xfId="13226"/>
    <cellStyle name="Saída 2 6 4 5 2" xfId="13227"/>
    <cellStyle name="Saída 2 6 5" xfId="13228"/>
    <cellStyle name="Saída 2 6 5 2" xfId="13229"/>
    <cellStyle name="Saída 2 6 6" xfId="13230"/>
    <cellStyle name="Saída 2 6 6 2" xfId="13231"/>
    <cellStyle name="Saída 2 6 7" xfId="13232"/>
    <cellStyle name="Saída 2 6 7 2" xfId="13233"/>
    <cellStyle name="Saída 2 6 8" xfId="13234"/>
    <cellStyle name="Saída 2 6 8 2" xfId="13235"/>
    <cellStyle name="Saída 2 7" xfId="2487"/>
    <cellStyle name="Saída 2 7 2" xfId="13236"/>
    <cellStyle name="Saída 2 7 2 2" xfId="13237"/>
    <cellStyle name="Saída 2 7 2 2 2" xfId="13238"/>
    <cellStyle name="Saída 2 7 2 3" xfId="13239"/>
    <cellStyle name="Saída 2 7 2 3 2" xfId="13240"/>
    <cellStyle name="Saída 2 7 2 4" xfId="13241"/>
    <cellStyle name="Saída 2 7 2 4 2" xfId="13242"/>
    <cellStyle name="Saída 2 7 2 5" xfId="13243"/>
    <cellStyle name="Saída 2 7 2 5 2" xfId="13244"/>
    <cellStyle name="Saída 2 7 3" xfId="13245"/>
    <cellStyle name="Saída 2 7 3 2" xfId="13246"/>
    <cellStyle name="Saída 2 7 3 2 2" xfId="13247"/>
    <cellStyle name="Saída 2 7 3 3" xfId="13248"/>
    <cellStyle name="Saída 2 7 3 3 2" xfId="13249"/>
    <cellStyle name="Saída 2 7 3 4" xfId="13250"/>
    <cellStyle name="Saída 2 7 3 4 2" xfId="13251"/>
    <cellStyle name="Saída 2 7 3 5" xfId="13252"/>
    <cellStyle name="Saída 2 7 3 5 2" xfId="13253"/>
    <cellStyle name="Saída 2 7 4" xfId="13254"/>
    <cellStyle name="Saída 2 7 4 2" xfId="13255"/>
    <cellStyle name="Saída 2 7 5" xfId="13256"/>
    <cellStyle name="Saída 2 7 5 2" xfId="13257"/>
    <cellStyle name="Saída 2 7 6" xfId="13258"/>
    <cellStyle name="Saída 2 7 6 2" xfId="13259"/>
    <cellStyle name="Saída 2 7 7" xfId="13260"/>
    <cellStyle name="Saída 2 7 7 2" xfId="13261"/>
    <cellStyle name="Saída 2 8" xfId="13262"/>
    <cellStyle name="Saída 2 8 2" xfId="13263"/>
    <cellStyle name="Saída 2 8 2 2" xfId="13264"/>
    <cellStyle name="Saída 2 8 3" xfId="13265"/>
    <cellStyle name="Saída 2 8 3 2" xfId="13266"/>
    <cellStyle name="Saída 2 8 4" xfId="13267"/>
    <cellStyle name="Saída 2 8 4 2" xfId="13268"/>
    <cellStyle name="Saída 2 8 5" xfId="13269"/>
    <cellStyle name="Saída 2 8 5 2" xfId="13270"/>
    <cellStyle name="Saída 2 9" xfId="13271"/>
    <cellStyle name="Saída 2 9 2" xfId="13272"/>
    <cellStyle name="Saída 2 9 2 2" xfId="13273"/>
    <cellStyle name="Saída 2 9 3" xfId="13274"/>
    <cellStyle name="Saída 2 9 3 2" xfId="13275"/>
    <cellStyle name="Saída 2 9 4" xfId="13276"/>
    <cellStyle name="Saída 2 9 4 2" xfId="13277"/>
    <cellStyle name="Saída 2 9 5" xfId="13278"/>
    <cellStyle name="Saída 2 9 5 2" xfId="13279"/>
    <cellStyle name="Saída 2_PIP" xfId="1696"/>
    <cellStyle name="Saída 3" xfId="1697"/>
    <cellStyle name="Saída 3 10" xfId="13280"/>
    <cellStyle name="Saída 3 10 2" xfId="13281"/>
    <cellStyle name="Saída 3 11" xfId="13282"/>
    <cellStyle name="Saída 3 11 2" xfId="13283"/>
    <cellStyle name="Saída 3 12" xfId="13284"/>
    <cellStyle name="Saída 3 12 2" xfId="13285"/>
    <cellStyle name="Saída 3 13" xfId="13286"/>
    <cellStyle name="Saída 3 13 2" xfId="13287"/>
    <cellStyle name="Saída 3 2" xfId="2488"/>
    <cellStyle name="Saída 3 2 10" xfId="13288"/>
    <cellStyle name="Saída 3 2 10 2" xfId="13289"/>
    <cellStyle name="Saída 3 2 11" xfId="13290"/>
    <cellStyle name="Saída 3 2 11 2" xfId="13291"/>
    <cellStyle name="Saída 3 2 12" xfId="13292"/>
    <cellStyle name="Saída 3 2 12 2" xfId="13293"/>
    <cellStyle name="Saída 3 2 2" xfId="2489"/>
    <cellStyle name="Saída 3 2 2 2" xfId="2490"/>
    <cellStyle name="Saída 3 2 2 2 2" xfId="13294"/>
    <cellStyle name="Saída 3 2 2 2 2 2" xfId="13295"/>
    <cellStyle name="Saída 3 2 2 2 2 2 2" xfId="13296"/>
    <cellStyle name="Saída 3 2 2 2 2 3" xfId="13297"/>
    <cellStyle name="Saída 3 2 2 2 2 3 2" xfId="13298"/>
    <cellStyle name="Saída 3 2 2 2 2 4" xfId="13299"/>
    <cellStyle name="Saída 3 2 2 2 2 4 2" xfId="13300"/>
    <cellStyle name="Saída 3 2 2 2 2 5" xfId="13301"/>
    <cellStyle name="Saída 3 2 2 2 2 5 2" xfId="13302"/>
    <cellStyle name="Saída 3 2 2 2 3" xfId="13303"/>
    <cellStyle name="Saída 3 2 2 2 3 2" xfId="13304"/>
    <cellStyle name="Saída 3 2 2 2 3 2 2" xfId="13305"/>
    <cellStyle name="Saída 3 2 2 2 3 3" xfId="13306"/>
    <cellStyle name="Saída 3 2 2 2 3 3 2" xfId="13307"/>
    <cellStyle name="Saída 3 2 2 2 3 4" xfId="13308"/>
    <cellStyle name="Saída 3 2 2 2 3 4 2" xfId="13309"/>
    <cellStyle name="Saída 3 2 2 2 3 5" xfId="13310"/>
    <cellStyle name="Saída 3 2 2 2 3 5 2" xfId="13311"/>
    <cellStyle name="Saída 3 2 2 2 4" xfId="13312"/>
    <cellStyle name="Saída 3 2 2 2 4 2" xfId="13313"/>
    <cellStyle name="Saída 3 2 2 2 5" xfId="13314"/>
    <cellStyle name="Saída 3 2 2 2 5 2" xfId="13315"/>
    <cellStyle name="Saída 3 2 2 2 6" xfId="13316"/>
    <cellStyle name="Saída 3 2 2 2 6 2" xfId="13317"/>
    <cellStyle name="Saída 3 2 2 2 7" xfId="13318"/>
    <cellStyle name="Saída 3 2 2 2 7 2" xfId="13319"/>
    <cellStyle name="Saída 3 2 2 3" xfId="13320"/>
    <cellStyle name="Saída 3 2 2 3 2" xfId="13321"/>
    <cellStyle name="Saída 3 2 2 3 2 2" xfId="13322"/>
    <cellStyle name="Saída 3 2 2 3 3" xfId="13323"/>
    <cellStyle name="Saída 3 2 2 3 3 2" xfId="13324"/>
    <cellStyle name="Saída 3 2 2 3 4" xfId="13325"/>
    <cellStyle name="Saída 3 2 2 3 4 2" xfId="13326"/>
    <cellStyle name="Saída 3 2 2 3 5" xfId="13327"/>
    <cellStyle name="Saída 3 2 2 3 5 2" xfId="13328"/>
    <cellStyle name="Saída 3 2 2 4" xfId="13329"/>
    <cellStyle name="Saída 3 2 2 4 2" xfId="13330"/>
    <cellStyle name="Saída 3 2 2 4 2 2" xfId="13331"/>
    <cellStyle name="Saída 3 2 2 4 3" xfId="13332"/>
    <cellStyle name="Saída 3 2 2 4 3 2" xfId="13333"/>
    <cellStyle name="Saída 3 2 2 4 4" xfId="13334"/>
    <cellStyle name="Saída 3 2 2 4 4 2" xfId="13335"/>
    <cellStyle name="Saída 3 2 2 4 5" xfId="13336"/>
    <cellStyle name="Saída 3 2 2 4 5 2" xfId="13337"/>
    <cellStyle name="Saída 3 2 2 5" xfId="13338"/>
    <cellStyle name="Saída 3 2 2 5 2" xfId="13339"/>
    <cellStyle name="Saída 3 2 2 6" xfId="13340"/>
    <cellStyle name="Saída 3 2 2 6 2" xfId="13341"/>
    <cellStyle name="Saída 3 2 2 7" xfId="13342"/>
    <cellStyle name="Saída 3 2 2 7 2" xfId="13343"/>
    <cellStyle name="Saída 3 2 2 8" xfId="13344"/>
    <cellStyle name="Saída 3 2 2 8 2" xfId="13345"/>
    <cellStyle name="Saída 3 2 3" xfId="2491"/>
    <cellStyle name="Saída 3 2 3 2" xfId="2492"/>
    <cellStyle name="Saída 3 2 3 2 2" xfId="13346"/>
    <cellStyle name="Saída 3 2 3 2 2 2" xfId="13347"/>
    <cellStyle name="Saída 3 2 3 2 2 2 2" xfId="13348"/>
    <cellStyle name="Saída 3 2 3 2 2 3" xfId="13349"/>
    <cellStyle name="Saída 3 2 3 2 2 3 2" xfId="13350"/>
    <cellStyle name="Saída 3 2 3 2 2 4" xfId="13351"/>
    <cellStyle name="Saída 3 2 3 2 2 4 2" xfId="13352"/>
    <cellStyle name="Saída 3 2 3 2 2 5" xfId="13353"/>
    <cellStyle name="Saída 3 2 3 2 2 5 2" xfId="13354"/>
    <cellStyle name="Saída 3 2 3 2 3" xfId="13355"/>
    <cellStyle name="Saída 3 2 3 2 3 2" xfId="13356"/>
    <cellStyle name="Saída 3 2 3 2 3 2 2" xfId="13357"/>
    <cellStyle name="Saída 3 2 3 2 3 3" xfId="13358"/>
    <cellStyle name="Saída 3 2 3 2 3 3 2" xfId="13359"/>
    <cellStyle name="Saída 3 2 3 2 3 4" xfId="13360"/>
    <cellStyle name="Saída 3 2 3 2 3 4 2" xfId="13361"/>
    <cellStyle name="Saída 3 2 3 2 3 5" xfId="13362"/>
    <cellStyle name="Saída 3 2 3 2 3 5 2" xfId="13363"/>
    <cellStyle name="Saída 3 2 3 2 4" xfId="13364"/>
    <cellStyle name="Saída 3 2 3 2 4 2" xfId="13365"/>
    <cellStyle name="Saída 3 2 3 2 5" xfId="13366"/>
    <cellStyle name="Saída 3 2 3 2 5 2" xfId="13367"/>
    <cellStyle name="Saída 3 2 3 2 6" xfId="13368"/>
    <cellStyle name="Saída 3 2 3 2 6 2" xfId="13369"/>
    <cellStyle name="Saída 3 2 3 2 7" xfId="13370"/>
    <cellStyle name="Saída 3 2 3 2 7 2" xfId="13371"/>
    <cellStyle name="Saída 3 2 3 3" xfId="13372"/>
    <cellStyle name="Saída 3 2 3 3 2" xfId="13373"/>
    <cellStyle name="Saída 3 2 3 3 2 2" xfId="13374"/>
    <cellStyle name="Saída 3 2 3 3 3" xfId="13375"/>
    <cellStyle name="Saída 3 2 3 3 3 2" xfId="13376"/>
    <cellStyle name="Saída 3 2 3 3 4" xfId="13377"/>
    <cellStyle name="Saída 3 2 3 3 4 2" xfId="13378"/>
    <cellStyle name="Saída 3 2 3 3 5" xfId="13379"/>
    <cellStyle name="Saída 3 2 3 3 5 2" xfId="13380"/>
    <cellStyle name="Saída 3 2 3 4" xfId="13381"/>
    <cellStyle name="Saída 3 2 3 4 2" xfId="13382"/>
    <cellStyle name="Saída 3 2 3 4 2 2" xfId="13383"/>
    <cellStyle name="Saída 3 2 3 4 3" xfId="13384"/>
    <cellStyle name="Saída 3 2 3 4 3 2" xfId="13385"/>
    <cellStyle name="Saída 3 2 3 4 4" xfId="13386"/>
    <cellStyle name="Saída 3 2 3 4 4 2" xfId="13387"/>
    <cellStyle name="Saída 3 2 3 4 5" xfId="13388"/>
    <cellStyle name="Saída 3 2 3 4 5 2" xfId="13389"/>
    <cellStyle name="Saída 3 2 3 5" xfId="13390"/>
    <cellStyle name="Saída 3 2 3 5 2" xfId="13391"/>
    <cellStyle name="Saída 3 2 3 6" xfId="13392"/>
    <cellStyle name="Saída 3 2 3 6 2" xfId="13393"/>
    <cellStyle name="Saída 3 2 3 7" xfId="13394"/>
    <cellStyle name="Saída 3 2 3 7 2" xfId="13395"/>
    <cellStyle name="Saída 3 2 3 8" xfId="13396"/>
    <cellStyle name="Saída 3 2 3 8 2" xfId="13397"/>
    <cellStyle name="Saída 3 2 4" xfId="2493"/>
    <cellStyle name="Saída 3 2 4 2" xfId="2494"/>
    <cellStyle name="Saída 3 2 4 2 2" xfId="13398"/>
    <cellStyle name="Saída 3 2 4 2 2 2" xfId="13399"/>
    <cellStyle name="Saída 3 2 4 2 2 2 2" xfId="13400"/>
    <cellStyle name="Saída 3 2 4 2 2 3" xfId="13401"/>
    <cellStyle name="Saída 3 2 4 2 2 3 2" xfId="13402"/>
    <cellStyle name="Saída 3 2 4 2 2 4" xfId="13403"/>
    <cellStyle name="Saída 3 2 4 2 2 4 2" xfId="13404"/>
    <cellStyle name="Saída 3 2 4 2 2 5" xfId="13405"/>
    <cellStyle name="Saída 3 2 4 2 2 5 2" xfId="13406"/>
    <cellStyle name="Saída 3 2 4 2 3" xfId="13407"/>
    <cellStyle name="Saída 3 2 4 2 3 2" xfId="13408"/>
    <cellStyle name="Saída 3 2 4 2 3 2 2" xfId="13409"/>
    <cellStyle name="Saída 3 2 4 2 3 3" xfId="13410"/>
    <cellStyle name="Saída 3 2 4 2 3 3 2" xfId="13411"/>
    <cellStyle name="Saída 3 2 4 2 3 4" xfId="13412"/>
    <cellStyle name="Saída 3 2 4 2 3 4 2" xfId="13413"/>
    <cellStyle name="Saída 3 2 4 2 3 5" xfId="13414"/>
    <cellStyle name="Saída 3 2 4 2 3 5 2" xfId="13415"/>
    <cellStyle name="Saída 3 2 4 2 4" xfId="13416"/>
    <cellStyle name="Saída 3 2 4 2 4 2" xfId="13417"/>
    <cellStyle name="Saída 3 2 4 2 5" xfId="13418"/>
    <cellStyle name="Saída 3 2 4 2 5 2" xfId="13419"/>
    <cellStyle name="Saída 3 2 4 2 6" xfId="13420"/>
    <cellStyle name="Saída 3 2 4 2 6 2" xfId="13421"/>
    <cellStyle name="Saída 3 2 4 2 7" xfId="13422"/>
    <cellStyle name="Saída 3 2 4 2 7 2" xfId="13423"/>
    <cellStyle name="Saída 3 2 4 3" xfId="13424"/>
    <cellStyle name="Saída 3 2 4 3 2" xfId="13425"/>
    <cellStyle name="Saída 3 2 4 3 2 2" xfId="13426"/>
    <cellStyle name="Saída 3 2 4 3 3" xfId="13427"/>
    <cellStyle name="Saída 3 2 4 3 3 2" xfId="13428"/>
    <cellStyle name="Saída 3 2 4 3 4" xfId="13429"/>
    <cellStyle name="Saída 3 2 4 3 4 2" xfId="13430"/>
    <cellStyle name="Saída 3 2 4 3 5" xfId="13431"/>
    <cellStyle name="Saída 3 2 4 3 5 2" xfId="13432"/>
    <cellStyle name="Saída 3 2 4 4" xfId="13433"/>
    <cellStyle name="Saída 3 2 4 4 2" xfId="13434"/>
    <cellStyle name="Saída 3 2 4 4 2 2" xfId="13435"/>
    <cellStyle name="Saída 3 2 4 4 3" xfId="13436"/>
    <cellStyle name="Saída 3 2 4 4 3 2" xfId="13437"/>
    <cellStyle name="Saída 3 2 4 4 4" xfId="13438"/>
    <cellStyle name="Saída 3 2 4 4 4 2" xfId="13439"/>
    <cellStyle name="Saída 3 2 4 4 5" xfId="13440"/>
    <cellStyle name="Saída 3 2 4 4 5 2" xfId="13441"/>
    <cellStyle name="Saída 3 2 4 5" xfId="13442"/>
    <cellStyle name="Saída 3 2 4 5 2" xfId="13443"/>
    <cellStyle name="Saída 3 2 4 6" xfId="13444"/>
    <cellStyle name="Saída 3 2 4 6 2" xfId="13445"/>
    <cellStyle name="Saída 3 2 4 7" xfId="13446"/>
    <cellStyle name="Saída 3 2 4 7 2" xfId="13447"/>
    <cellStyle name="Saída 3 2 4 8" xfId="13448"/>
    <cellStyle name="Saída 3 2 4 8 2" xfId="13449"/>
    <cellStyle name="Saída 3 2 5" xfId="2495"/>
    <cellStyle name="Saída 3 2 5 2" xfId="2496"/>
    <cellStyle name="Saída 3 2 5 2 2" xfId="13450"/>
    <cellStyle name="Saída 3 2 5 2 2 2" xfId="13451"/>
    <cellStyle name="Saída 3 2 5 2 2 2 2" xfId="13452"/>
    <cellStyle name="Saída 3 2 5 2 2 3" xfId="13453"/>
    <cellStyle name="Saída 3 2 5 2 2 3 2" xfId="13454"/>
    <cellStyle name="Saída 3 2 5 2 2 4" xfId="13455"/>
    <cellStyle name="Saída 3 2 5 2 2 4 2" xfId="13456"/>
    <cellStyle name="Saída 3 2 5 2 2 5" xfId="13457"/>
    <cellStyle name="Saída 3 2 5 2 2 5 2" xfId="13458"/>
    <cellStyle name="Saída 3 2 5 2 3" xfId="13459"/>
    <cellStyle name="Saída 3 2 5 2 3 2" xfId="13460"/>
    <cellStyle name="Saída 3 2 5 2 3 2 2" xfId="13461"/>
    <cellStyle name="Saída 3 2 5 2 3 3" xfId="13462"/>
    <cellStyle name="Saída 3 2 5 2 3 3 2" xfId="13463"/>
    <cellStyle name="Saída 3 2 5 2 3 4" xfId="13464"/>
    <cellStyle name="Saída 3 2 5 2 3 4 2" xfId="13465"/>
    <cellStyle name="Saída 3 2 5 2 3 5" xfId="13466"/>
    <cellStyle name="Saída 3 2 5 2 3 5 2" xfId="13467"/>
    <cellStyle name="Saída 3 2 5 2 4" xfId="13468"/>
    <cellStyle name="Saída 3 2 5 2 4 2" xfId="13469"/>
    <cellStyle name="Saída 3 2 5 2 5" xfId="13470"/>
    <cellStyle name="Saída 3 2 5 2 5 2" xfId="13471"/>
    <cellStyle name="Saída 3 2 5 2 6" xfId="13472"/>
    <cellStyle name="Saída 3 2 5 2 6 2" xfId="13473"/>
    <cellStyle name="Saída 3 2 5 2 7" xfId="13474"/>
    <cellStyle name="Saída 3 2 5 2 7 2" xfId="13475"/>
    <cellStyle name="Saída 3 2 5 3" xfId="13476"/>
    <cellStyle name="Saída 3 2 5 3 2" xfId="13477"/>
    <cellStyle name="Saída 3 2 5 3 2 2" xfId="13478"/>
    <cellStyle name="Saída 3 2 5 3 3" xfId="13479"/>
    <cellStyle name="Saída 3 2 5 3 3 2" xfId="13480"/>
    <cellStyle name="Saída 3 2 5 3 4" xfId="13481"/>
    <cellStyle name="Saída 3 2 5 3 4 2" xfId="13482"/>
    <cellStyle name="Saída 3 2 5 3 5" xfId="13483"/>
    <cellStyle name="Saída 3 2 5 3 5 2" xfId="13484"/>
    <cellStyle name="Saída 3 2 5 4" xfId="13485"/>
    <cellStyle name="Saída 3 2 5 4 2" xfId="13486"/>
    <cellStyle name="Saída 3 2 5 4 2 2" xfId="13487"/>
    <cellStyle name="Saída 3 2 5 4 3" xfId="13488"/>
    <cellStyle name="Saída 3 2 5 4 3 2" xfId="13489"/>
    <cellStyle name="Saída 3 2 5 4 4" xfId="13490"/>
    <cellStyle name="Saída 3 2 5 4 4 2" xfId="13491"/>
    <cellStyle name="Saída 3 2 5 4 5" xfId="13492"/>
    <cellStyle name="Saída 3 2 5 4 5 2" xfId="13493"/>
    <cellStyle name="Saída 3 2 5 5" xfId="13494"/>
    <cellStyle name="Saída 3 2 5 5 2" xfId="13495"/>
    <cellStyle name="Saída 3 2 5 6" xfId="13496"/>
    <cellStyle name="Saída 3 2 5 6 2" xfId="13497"/>
    <cellStyle name="Saída 3 2 5 7" xfId="13498"/>
    <cellStyle name="Saída 3 2 5 7 2" xfId="13499"/>
    <cellStyle name="Saída 3 2 5 8" xfId="13500"/>
    <cellStyle name="Saída 3 2 5 8 2" xfId="13501"/>
    <cellStyle name="Saída 3 2 6" xfId="2497"/>
    <cellStyle name="Saída 3 2 6 2" xfId="13502"/>
    <cellStyle name="Saída 3 2 6 2 2" xfId="13503"/>
    <cellStyle name="Saída 3 2 6 2 2 2" xfId="13504"/>
    <cellStyle name="Saída 3 2 6 2 3" xfId="13505"/>
    <cellStyle name="Saída 3 2 6 2 3 2" xfId="13506"/>
    <cellStyle name="Saída 3 2 6 2 4" xfId="13507"/>
    <cellStyle name="Saída 3 2 6 2 4 2" xfId="13508"/>
    <cellStyle name="Saída 3 2 6 2 5" xfId="13509"/>
    <cellStyle name="Saída 3 2 6 2 5 2" xfId="13510"/>
    <cellStyle name="Saída 3 2 6 3" xfId="13511"/>
    <cellStyle name="Saída 3 2 6 3 2" xfId="13512"/>
    <cellStyle name="Saída 3 2 6 3 2 2" xfId="13513"/>
    <cellStyle name="Saída 3 2 6 3 3" xfId="13514"/>
    <cellStyle name="Saída 3 2 6 3 3 2" xfId="13515"/>
    <cellStyle name="Saída 3 2 6 3 4" xfId="13516"/>
    <cellStyle name="Saída 3 2 6 3 4 2" xfId="13517"/>
    <cellStyle name="Saída 3 2 6 3 5" xfId="13518"/>
    <cellStyle name="Saída 3 2 6 3 5 2" xfId="13519"/>
    <cellStyle name="Saída 3 2 6 4" xfId="13520"/>
    <cellStyle name="Saída 3 2 6 4 2" xfId="13521"/>
    <cellStyle name="Saída 3 2 6 5" xfId="13522"/>
    <cellStyle name="Saída 3 2 6 5 2" xfId="13523"/>
    <cellStyle name="Saída 3 2 6 6" xfId="13524"/>
    <cellStyle name="Saída 3 2 6 6 2" xfId="13525"/>
    <cellStyle name="Saída 3 2 6 7" xfId="13526"/>
    <cellStyle name="Saída 3 2 6 7 2" xfId="13527"/>
    <cellStyle name="Saída 3 2 7" xfId="13528"/>
    <cellStyle name="Saída 3 2 7 2" xfId="13529"/>
    <cellStyle name="Saída 3 2 7 2 2" xfId="13530"/>
    <cellStyle name="Saída 3 2 7 3" xfId="13531"/>
    <cellStyle name="Saída 3 2 7 3 2" xfId="13532"/>
    <cellStyle name="Saída 3 2 7 4" xfId="13533"/>
    <cellStyle name="Saída 3 2 7 4 2" xfId="13534"/>
    <cellStyle name="Saída 3 2 7 5" xfId="13535"/>
    <cellStyle name="Saída 3 2 7 5 2" xfId="13536"/>
    <cellStyle name="Saída 3 2 8" xfId="13537"/>
    <cellStyle name="Saída 3 2 8 2" xfId="13538"/>
    <cellStyle name="Saída 3 2 8 2 2" xfId="13539"/>
    <cellStyle name="Saída 3 2 8 3" xfId="13540"/>
    <cellStyle name="Saída 3 2 8 3 2" xfId="13541"/>
    <cellStyle name="Saída 3 2 8 4" xfId="13542"/>
    <cellStyle name="Saída 3 2 8 4 2" xfId="13543"/>
    <cellStyle name="Saída 3 2 8 5" xfId="13544"/>
    <cellStyle name="Saída 3 2 8 5 2" xfId="13545"/>
    <cellStyle name="Saída 3 2 9" xfId="13546"/>
    <cellStyle name="Saída 3 2 9 2" xfId="13547"/>
    <cellStyle name="Saída 3 3" xfId="2498"/>
    <cellStyle name="Saída 3 3 2" xfId="2499"/>
    <cellStyle name="Saída 3 3 2 2" xfId="13548"/>
    <cellStyle name="Saída 3 3 2 2 2" xfId="13549"/>
    <cellStyle name="Saída 3 3 2 2 2 2" xfId="13550"/>
    <cellStyle name="Saída 3 3 2 2 3" xfId="13551"/>
    <cellStyle name="Saída 3 3 2 2 3 2" xfId="13552"/>
    <cellStyle name="Saída 3 3 2 2 4" xfId="13553"/>
    <cellStyle name="Saída 3 3 2 2 4 2" xfId="13554"/>
    <cellStyle name="Saída 3 3 2 2 5" xfId="13555"/>
    <cellStyle name="Saída 3 3 2 2 5 2" xfId="13556"/>
    <cellStyle name="Saída 3 3 2 3" xfId="13557"/>
    <cellStyle name="Saída 3 3 2 3 2" xfId="13558"/>
    <cellStyle name="Saída 3 3 2 3 2 2" xfId="13559"/>
    <cellStyle name="Saída 3 3 2 3 3" xfId="13560"/>
    <cellStyle name="Saída 3 3 2 3 3 2" xfId="13561"/>
    <cellStyle name="Saída 3 3 2 3 4" xfId="13562"/>
    <cellStyle name="Saída 3 3 2 3 4 2" xfId="13563"/>
    <cellStyle name="Saída 3 3 2 3 5" xfId="13564"/>
    <cellStyle name="Saída 3 3 2 3 5 2" xfId="13565"/>
    <cellStyle name="Saída 3 3 2 4" xfId="13566"/>
    <cellStyle name="Saída 3 3 2 4 2" xfId="13567"/>
    <cellStyle name="Saída 3 3 2 5" xfId="13568"/>
    <cellStyle name="Saída 3 3 2 5 2" xfId="13569"/>
    <cellStyle name="Saída 3 3 2 6" xfId="13570"/>
    <cellStyle name="Saída 3 3 2 6 2" xfId="13571"/>
    <cellStyle name="Saída 3 3 2 7" xfId="13572"/>
    <cellStyle name="Saída 3 3 2 7 2" xfId="13573"/>
    <cellStyle name="Saída 3 3 3" xfId="13574"/>
    <cellStyle name="Saída 3 3 3 2" xfId="13575"/>
    <cellStyle name="Saída 3 3 3 2 2" xfId="13576"/>
    <cellStyle name="Saída 3 3 3 3" xfId="13577"/>
    <cellStyle name="Saída 3 3 3 3 2" xfId="13578"/>
    <cellStyle name="Saída 3 3 3 4" xfId="13579"/>
    <cellStyle name="Saída 3 3 3 4 2" xfId="13580"/>
    <cellStyle name="Saída 3 3 3 5" xfId="13581"/>
    <cellStyle name="Saída 3 3 3 5 2" xfId="13582"/>
    <cellStyle name="Saída 3 3 4" xfId="13583"/>
    <cellStyle name="Saída 3 3 4 2" xfId="13584"/>
    <cellStyle name="Saída 3 3 4 2 2" xfId="13585"/>
    <cellStyle name="Saída 3 3 4 3" xfId="13586"/>
    <cellStyle name="Saída 3 3 4 3 2" xfId="13587"/>
    <cellStyle name="Saída 3 3 4 4" xfId="13588"/>
    <cellStyle name="Saída 3 3 4 4 2" xfId="13589"/>
    <cellStyle name="Saída 3 3 4 5" xfId="13590"/>
    <cellStyle name="Saída 3 3 4 5 2" xfId="13591"/>
    <cellStyle name="Saída 3 3 5" xfId="13592"/>
    <cellStyle name="Saída 3 3 5 2" xfId="13593"/>
    <cellStyle name="Saída 3 3 6" xfId="13594"/>
    <cellStyle name="Saída 3 3 6 2" xfId="13595"/>
    <cellStyle name="Saída 3 3 7" xfId="13596"/>
    <cellStyle name="Saída 3 3 7 2" xfId="13597"/>
    <cellStyle name="Saída 3 3 8" xfId="13598"/>
    <cellStyle name="Saída 3 3 8 2" xfId="13599"/>
    <cellStyle name="Saída 3 4" xfId="2500"/>
    <cellStyle name="Saída 3 4 2" xfId="2501"/>
    <cellStyle name="Saída 3 4 2 2" xfId="13600"/>
    <cellStyle name="Saída 3 4 2 2 2" xfId="13601"/>
    <cellStyle name="Saída 3 4 2 2 2 2" xfId="13602"/>
    <cellStyle name="Saída 3 4 2 2 3" xfId="13603"/>
    <cellStyle name="Saída 3 4 2 2 3 2" xfId="13604"/>
    <cellStyle name="Saída 3 4 2 2 4" xfId="13605"/>
    <cellStyle name="Saída 3 4 2 2 4 2" xfId="13606"/>
    <cellStyle name="Saída 3 4 2 2 5" xfId="13607"/>
    <cellStyle name="Saída 3 4 2 2 5 2" xfId="13608"/>
    <cellStyle name="Saída 3 4 2 3" xfId="13609"/>
    <cellStyle name="Saída 3 4 2 3 2" xfId="13610"/>
    <cellStyle name="Saída 3 4 2 3 2 2" xfId="13611"/>
    <cellStyle name="Saída 3 4 2 3 3" xfId="13612"/>
    <cellStyle name="Saída 3 4 2 3 3 2" xfId="13613"/>
    <cellStyle name="Saída 3 4 2 3 4" xfId="13614"/>
    <cellStyle name="Saída 3 4 2 3 4 2" xfId="13615"/>
    <cellStyle name="Saída 3 4 2 3 5" xfId="13616"/>
    <cellStyle name="Saída 3 4 2 3 5 2" xfId="13617"/>
    <cellStyle name="Saída 3 4 2 4" xfId="13618"/>
    <cellStyle name="Saída 3 4 2 4 2" xfId="13619"/>
    <cellStyle name="Saída 3 4 2 5" xfId="13620"/>
    <cellStyle name="Saída 3 4 2 5 2" xfId="13621"/>
    <cellStyle name="Saída 3 4 2 6" xfId="13622"/>
    <cellStyle name="Saída 3 4 2 6 2" xfId="13623"/>
    <cellStyle name="Saída 3 4 2 7" xfId="13624"/>
    <cellStyle name="Saída 3 4 2 7 2" xfId="13625"/>
    <cellStyle name="Saída 3 4 3" xfId="13626"/>
    <cellStyle name="Saída 3 4 3 2" xfId="13627"/>
    <cellStyle name="Saída 3 4 3 2 2" xfId="13628"/>
    <cellStyle name="Saída 3 4 3 3" xfId="13629"/>
    <cellStyle name="Saída 3 4 3 3 2" xfId="13630"/>
    <cellStyle name="Saída 3 4 3 4" xfId="13631"/>
    <cellStyle name="Saída 3 4 3 4 2" xfId="13632"/>
    <cellStyle name="Saída 3 4 3 5" xfId="13633"/>
    <cellStyle name="Saída 3 4 3 5 2" xfId="13634"/>
    <cellStyle name="Saída 3 4 4" xfId="13635"/>
    <cellStyle name="Saída 3 4 4 2" xfId="13636"/>
    <cellStyle name="Saída 3 4 4 2 2" xfId="13637"/>
    <cellStyle name="Saída 3 4 4 3" xfId="13638"/>
    <cellStyle name="Saída 3 4 4 3 2" xfId="13639"/>
    <cellStyle name="Saída 3 4 4 4" xfId="13640"/>
    <cellStyle name="Saída 3 4 4 4 2" xfId="13641"/>
    <cellStyle name="Saída 3 4 4 5" xfId="13642"/>
    <cellStyle name="Saída 3 4 4 5 2" xfId="13643"/>
    <cellStyle name="Saída 3 4 5" xfId="13644"/>
    <cellStyle name="Saída 3 4 5 2" xfId="13645"/>
    <cellStyle name="Saída 3 4 6" xfId="13646"/>
    <cellStyle name="Saída 3 4 6 2" xfId="13647"/>
    <cellStyle name="Saída 3 4 7" xfId="13648"/>
    <cellStyle name="Saída 3 4 7 2" xfId="13649"/>
    <cellStyle name="Saída 3 4 8" xfId="13650"/>
    <cellStyle name="Saída 3 4 8 2" xfId="13651"/>
    <cellStyle name="Saída 3 5" xfId="2502"/>
    <cellStyle name="Saída 3 5 2" xfId="2503"/>
    <cellStyle name="Saída 3 5 2 2" xfId="13652"/>
    <cellStyle name="Saída 3 5 2 2 2" xfId="13653"/>
    <cellStyle name="Saída 3 5 2 2 2 2" xfId="13654"/>
    <cellStyle name="Saída 3 5 2 2 3" xfId="13655"/>
    <cellStyle name="Saída 3 5 2 2 3 2" xfId="13656"/>
    <cellStyle name="Saída 3 5 2 2 4" xfId="13657"/>
    <cellStyle name="Saída 3 5 2 2 4 2" xfId="13658"/>
    <cellStyle name="Saída 3 5 2 2 5" xfId="13659"/>
    <cellStyle name="Saída 3 5 2 2 5 2" xfId="13660"/>
    <cellStyle name="Saída 3 5 2 3" xfId="13661"/>
    <cellStyle name="Saída 3 5 2 3 2" xfId="13662"/>
    <cellStyle name="Saída 3 5 2 3 2 2" xfId="13663"/>
    <cellStyle name="Saída 3 5 2 3 3" xfId="13664"/>
    <cellStyle name="Saída 3 5 2 3 3 2" xfId="13665"/>
    <cellStyle name="Saída 3 5 2 3 4" xfId="13666"/>
    <cellStyle name="Saída 3 5 2 3 4 2" xfId="13667"/>
    <cellStyle name="Saída 3 5 2 3 5" xfId="13668"/>
    <cellStyle name="Saída 3 5 2 3 5 2" xfId="13669"/>
    <cellStyle name="Saída 3 5 2 4" xfId="13670"/>
    <cellStyle name="Saída 3 5 2 4 2" xfId="13671"/>
    <cellStyle name="Saída 3 5 2 5" xfId="13672"/>
    <cellStyle name="Saída 3 5 2 5 2" xfId="13673"/>
    <cellStyle name="Saída 3 5 2 6" xfId="13674"/>
    <cellStyle name="Saída 3 5 2 6 2" xfId="13675"/>
    <cellStyle name="Saída 3 5 2 7" xfId="13676"/>
    <cellStyle name="Saída 3 5 2 7 2" xfId="13677"/>
    <cellStyle name="Saída 3 5 3" xfId="13678"/>
    <cellStyle name="Saída 3 5 3 2" xfId="13679"/>
    <cellStyle name="Saída 3 5 3 2 2" xfId="13680"/>
    <cellStyle name="Saída 3 5 3 3" xfId="13681"/>
    <cellStyle name="Saída 3 5 3 3 2" xfId="13682"/>
    <cellStyle name="Saída 3 5 3 4" xfId="13683"/>
    <cellStyle name="Saída 3 5 3 4 2" xfId="13684"/>
    <cellStyle name="Saída 3 5 3 5" xfId="13685"/>
    <cellStyle name="Saída 3 5 3 5 2" xfId="13686"/>
    <cellStyle name="Saída 3 5 4" xfId="13687"/>
    <cellStyle name="Saída 3 5 4 2" xfId="13688"/>
    <cellStyle name="Saída 3 5 4 2 2" xfId="13689"/>
    <cellStyle name="Saída 3 5 4 3" xfId="13690"/>
    <cellStyle name="Saída 3 5 4 3 2" xfId="13691"/>
    <cellStyle name="Saída 3 5 4 4" xfId="13692"/>
    <cellStyle name="Saída 3 5 4 4 2" xfId="13693"/>
    <cellStyle name="Saída 3 5 4 5" xfId="13694"/>
    <cellStyle name="Saída 3 5 4 5 2" xfId="13695"/>
    <cellStyle name="Saída 3 5 5" xfId="13696"/>
    <cellStyle name="Saída 3 5 5 2" xfId="13697"/>
    <cellStyle name="Saída 3 5 6" xfId="13698"/>
    <cellStyle name="Saída 3 5 6 2" xfId="13699"/>
    <cellStyle name="Saída 3 5 7" xfId="13700"/>
    <cellStyle name="Saída 3 5 7 2" xfId="13701"/>
    <cellStyle name="Saída 3 5 8" xfId="13702"/>
    <cellStyle name="Saída 3 5 8 2" xfId="13703"/>
    <cellStyle name="Saída 3 6" xfId="2504"/>
    <cellStyle name="Saída 3 6 2" xfId="2505"/>
    <cellStyle name="Saída 3 6 2 2" xfId="13704"/>
    <cellStyle name="Saída 3 6 2 2 2" xfId="13705"/>
    <cellStyle name="Saída 3 6 2 2 2 2" xfId="13706"/>
    <cellStyle name="Saída 3 6 2 2 3" xfId="13707"/>
    <cellStyle name="Saída 3 6 2 2 3 2" xfId="13708"/>
    <cellStyle name="Saída 3 6 2 2 4" xfId="13709"/>
    <cellStyle name="Saída 3 6 2 2 4 2" xfId="13710"/>
    <cellStyle name="Saída 3 6 2 2 5" xfId="13711"/>
    <cellStyle name="Saída 3 6 2 2 5 2" xfId="13712"/>
    <cellStyle name="Saída 3 6 2 3" xfId="13713"/>
    <cellStyle name="Saída 3 6 2 3 2" xfId="13714"/>
    <cellStyle name="Saída 3 6 2 3 2 2" xfId="13715"/>
    <cellStyle name="Saída 3 6 2 3 3" xfId="13716"/>
    <cellStyle name="Saída 3 6 2 3 3 2" xfId="13717"/>
    <cellStyle name="Saída 3 6 2 3 4" xfId="13718"/>
    <cellStyle name="Saída 3 6 2 3 4 2" xfId="13719"/>
    <cellStyle name="Saída 3 6 2 3 5" xfId="13720"/>
    <cellStyle name="Saída 3 6 2 3 5 2" xfId="13721"/>
    <cellStyle name="Saída 3 6 2 4" xfId="13722"/>
    <cellStyle name="Saída 3 6 2 4 2" xfId="13723"/>
    <cellStyle name="Saída 3 6 2 5" xfId="13724"/>
    <cellStyle name="Saída 3 6 2 5 2" xfId="13725"/>
    <cellStyle name="Saída 3 6 2 6" xfId="13726"/>
    <cellStyle name="Saída 3 6 2 6 2" xfId="13727"/>
    <cellStyle name="Saída 3 6 2 7" xfId="13728"/>
    <cellStyle name="Saída 3 6 2 7 2" xfId="13729"/>
    <cellStyle name="Saída 3 6 3" xfId="13730"/>
    <cellStyle name="Saída 3 6 3 2" xfId="13731"/>
    <cellStyle name="Saída 3 6 3 2 2" xfId="13732"/>
    <cellStyle name="Saída 3 6 3 3" xfId="13733"/>
    <cellStyle name="Saída 3 6 3 3 2" xfId="13734"/>
    <cellStyle name="Saída 3 6 3 4" xfId="13735"/>
    <cellStyle name="Saída 3 6 3 4 2" xfId="13736"/>
    <cellStyle name="Saída 3 6 3 5" xfId="13737"/>
    <cellStyle name="Saída 3 6 3 5 2" xfId="13738"/>
    <cellStyle name="Saída 3 6 4" xfId="13739"/>
    <cellStyle name="Saída 3 6 4 2" xfId="13740"/>
    <cellStyle name="Saída 3 6 4 2 2" xfId="13741"/>
    <cellStyle name="Saída 3 6 4 3" xfId="13742"/>
    <cellStyle name="Saída 3 6 4 3 2" xfId="13743"/>
    <cellStyle name="Saída 3 6 4 4" xfId="13744"/>
    <cellStyle name="Saída 3 6 4 4 2" xfId="13745"/>
    <cellStyle name="Saída 3 6 4 5" xfId="13746"/>
    <cellStyle name="Saída 3 6 4 5 2" xfId="13747"/>
    <cellStyle name="Saída 3 6 5" xfId="13748"/>
    <cellStyle name="Saída 3 6 5 2" xfId="13749"/>
    <cellStyle name="Saída 3 6 6" xfId="13750"/>
    <cellStyle name="Saída 3 6 6 2" xfId="13751"/>
    <cellStyle name="Saída 3 6 7" xfId="13752"/>
    <cellStyle name="Saída 3 6 7 2" xfId="13753"/>
    <cellStyle name="Saída 3 6 8" xfId="13754"/>
    <cellStyle name="Saída 3 6 8 2" xfId="13755"/>
    <cellStyle name="Saída 3 7" xfId="2506"/>
    <cellStyle name="Saída 3 7 2" xfId="13756"/>
    <cellStyle name="Saída 3 7 2 2" xfId="13757"/>
    <cellStyle name="Saída 3 7 2 2 2" xfId="13758"/>
    <cellStyle name="Saída 3 7 2 3" xfId="13759"/>
    <cellStyle name="Saída 3 7 2 3 2" xfId="13760"/>
    <cellStyle name="Saída 3 7 2 4" xfId="13761"/>
    <cellStyle name="Saída 3 7 2 4 2" xfId="13762"/>
    <cellStyle name="Saída 3 7 2 5" xfId="13763"/>
    <cellStyle name="Saída 3 7 2 5 2" xfId="13764"/>
    <cellStyle name="Saída 3 7 3" xfId="13765"/>
    <cellStyle name="Saída 3 7 3 2" xfId="13766"/>
    <cellStyle name="Saída 3 7 3 2 2" xfId="13767"/>
    <cellStyle name="Saída 3 7 3 3" xfId="13768"/>
    <cellStyle name="Saída 3 7 3 3 2" xfId="13769"/>
    <cellStyle name="Saída 3 7 3 4" xfId="13770"/>
    <cellStyle name="Saída 3 7 3 4 2" xfId="13771"/>
    <cellStyle name="Saída 3 7 3 5" xfId="13772"/>
    <cellStyle name="Saída 3 7 3 5 2" xfId="13773"/>
    <cellStyle name="Saída 3 7 4" xfId="13774"/>
    <cellStyle name="Saída 3 7 4 2" xfId="13775"/>
    <cellStyle name="Saída 3 7 5" xfId="13776"/>
    <cellStyle name="Saída 3 7 5 2" xfId="13777"/>
    <cellStyle name="Saída 3 7 6" xfId="13778"/>
    <cellStyle name="Saída 3 7 6 2" xfId="13779"/>
    <cellStyle name="Saída 3 7 7" xfId="13780"/>
    <cellStyle name="Saída 3 7 7 2" xfId="13781"/>
    <cellStyle name="Saída 3 8" xfId="13782"/>
    <cellStyle name="Saída 3 8 2" xfId="13783"/>
    <cellStyle name="Saída 3 8 2 2" xfId="13784"/>
    <cellStyle name="Saída 3 8 3" xfId="13785"/>
    <cellStyle name="Saída 3 8 3 2" xfId="13786"/>
    <cellStyle name="Saída 3 8 4" xfId="13787"/>
    <cellStyle name="Saída 3 8 4 2" xfId="13788"/>
    <cellStyle name="Saída 3 8 5" xfId="13789"/>
    <cellStyle name="Saída 3 8 5 2" xfId="13790"/>
    <cellStyle name="Saída 3 9" xfId="13791"/>
    <cellStyle name="Saída 3 9 2" xfId="13792"/>
    <cellStyle name="Saída 3 9 2 2" xfId="13793"/>
    <cellStyle name="Saída 3 9 3" xfId="13794"/>
    <cellStyle name="Saída 3 9 3 2" xfId="13795"/>
    <cellStyle name="Saída 3 9 4" xfId="13796"/>
    <cellStyle name="Saída 3 9 4 2" xfId="13797"/>
    <cellStyle name="Saída 3 9 5" xfId="13798"/>
    <cellStyle name="Saída 3 9 5 2" xfId="13799"/>
    <cellStyle name="Saída 4" xfId="1698"/>
    <cellStyle name="Saída 4 10" xfId="13800"/>
    <cellStyle name="Saída 4 10 2" xfId="13801"/>
    <cellStyle name="Saída 4 11" xfId="13802"/>
    <cellStyle name="Saída 4 11 2" xfId="13803"/>
    <cellStyle name="Saída 4 12" xfId="13804"/>
    <cellStyle name="Saída 4 12 2" xfId="13805"/>
    <cellStyle name="Saída 4 13" xfId="13806"/>
    <cellStyle name="Saída 4 13 2" xfId="13807"/>
    <cellStyle name="Saída 4 2" xfId="2507"/>
    <cellStyle name="Saída 4 2 10" xfId="13808"/>
    <cellStyle name="Saída 4 2 10 2" xfId="13809"/>
    <cellStyle name="Saída 4 2 11" xfId="13810"/>
    <cellStyle name="Saída 4 2 11 2" xfId="13811"/>
    <cellStyle name="Saída 4 2 12" xfId="13812"/>
    <cellStyle name="Saída 4 2 12 2" xfId="13813"/>
    <cellStyle name="Saída 4 2 2" xfId="2508"/>
    <cellStyle name="Saída 4 2 2 2" xfId="2509"/>
    <cellStyle name="Saída 4 2 2 2 2" xfId="13814"/>
    <cellStyle name="Saída 4 2 2 2 2 2" xfId="13815"/>
    <cellStyle name="Saída 4 2 2 2 2 2 2" xfId="13816"/>
    <cellStyle name="Saída 4 2 2 2 2 3" xfId="13817"/>
    <cellStyle name="Saída 4 2 2 2 2 3 2" xfId="13818"/>
    <cellStyle name="Saída 4 2 2 2 2 4" xfId="13819"/>
    <cellStyle name="Saída 4 2 2 2 2 4 2" xfId="13820"/>
    <cellStyle name="Saída 4 2 2 2 2 5" xfId="13821"/>
    <cellStyle name="Saída 4 2 2 2 2 5 2" xfId="13822"/>
    <cellStyle name="Saída 4 2 2 2 3" xfId="13823"/>
    <cellStyle name="Saída 4 2 2 2 3 2" xfId="13824"/>
    <cellStyle name="Saída 4 2 2 2 3 2 2" xfId="13825"/>
    <cellStyle name="Saída 4 2 2 2 3 3" xfId="13826"/>
    <cellStyle name="Saída 4 2 2 2 3 3 2" xfId="13827"/>
    <cellStyle name="Saída 4 2 2 2 3 4" xfId="13828"/>
    <cellStyle name="Saída 4 2 2 2 3 4 2" xfId="13829"/>
    <cellStyle name="Saída 4 2 2 2 3 5" xfId="13830"/>
    <cellStyle name="Saída 4 2 2 2 3 5 2" xfId="13831"/>
    <cellStyle name="Saída 4 2 2 2 4" xfId="13832"/>
    <cellStyle name="Saída 4 2 2 2 4 2" xfId="13833"/>
    <cellStyle name="Saída 4 2 2 2 5" xfId="13834"/>
    <cellStyle name="Saída 4 2 2 2 5 2" xfId="13835"/>
    <cellStyle name="Saída 4 2 2 2 6" xfId="13836"/>
    <cellStyle name="Saída 4 2 2 2 6 2" xfId="13837"/>
    <cellStyle name="Saída 4 2 2 2 7" xfId="13838"/>
    <cellStyle name="Saída 4 2 2 2 7 2" xfId="13839"/>
    <cellStyle name="Saída 4 2 2 3" xfId="13840"/>
    <cellStyle name="Saída 4 2 2 3 2" xfId="13841"/>
    <cellStyle name="Saída 4 2 2 3 2 2" xfId="13842"/>
    <cellStyle name="Saída 4 2 2 3 3" xfId="13843"/>
    <cellStyle name="Saída 4 2 2 3 3 2" xfId="13844"/>
    <cellStyle name="Saída 4 2 2 3 4" xfId="13845"/>
    <cellStyle name="Saída 4 2 2 3 4 2" xfId="13846"/>
    <cellStyle name="Saída 4 2 2 3 5" xfId="13847"/>
    <cellStyle name="Saída 4 2 2 3 5 2" xfId="13848"/>
    <cellStyle name="Saída 4 2 2 4" xfId="13849"/>
    <cellStyle name="Saída 4 2 2 4 2" xfId="13850"/>
    <cellStyle name="Saída 4 2 2 4 2 2" xfId="13851"/>
    <cellStyle name="Saída 4 2 2 4 3" xfId="13852"/>
    <cellStyle name="Saída 4 2 2 4 3 2" xfId="13853"/>
    <cellStyle name="Saída 4 2 2 4 4" xfId="13854"/>
    <cellStyle name="Saída 4 2 2 4 4 2" xfId="13855"/>
    <cellStyle name="Saída 4 2 2 4 5" xfId="13856"/>
    <cellStyle name="Saída 4 2 2 4 5 2" xfId="13857"/>
    <cellStyle name="Saída 4 2 2 5" xfId="13858"/>
    <cellStyle name="Saída 4 2 2 5 2" xfId="13859"/>
    <cellStyle name="Saída 4 2 2 6" xfId="13860"/>
    <cellStyle name="Saída 4 2 2 6 2" xfId="13861"/>
    <cellStyle name="Saída 4 2 2 7" xfId="13862"/>
    <cellStyle name="Saída 4 2 2 7 2" xfId="13863"/>
    <cellStyle name="Saída 4 2 2 8" xfId="13864"/>
    <cellStyle name="Saída 4 2 2 8 2" xfId="13865"/>
    <cellStyle name="Saída 4 2 3" xfId="2510"/>
    <cellStyle name="Saída 4 2 3 2" xfId="2511"/>
    <cellStyle name="Saída 4 2 3 2 2" xfId="13866"/>
    <cellStyle name="Saída 4 2 3 2 2 2" xfId="13867"/>
    <cellStyle name="Saída 4 2 3 2 2 2 2" xfId="13868"/>
    <cellStyle name="Saída 4 2 3 2 2 3" xfId="13869"/>
    <cellStyle name="Saída 4 2 3 2 2 3 2" xfId="13870"/>
    <cellStyle name="Saída 4 2 3 2 2 4" xfId="13871"/>
    <cellStyle name="Saída 4 2 3 2 2 4 2" xfId="13872"/>
    <cellStyle name="Saída 4 2 3 2 2 5" xfId="13873"/>
    <cellStyle name="Saída 4 2 3 2 2 5 2" xfId="13874"/>
    <cellStyle name="Saída 4 2 3 2 3" xfId="13875"/>
    <cellStyle name="Saída 4 2 3 2 3 2" xfId="13876"/>
    <cellStyle name="Saída 4 2 3 2 3 2 2" xfId="13877"/>
    <cellStyle name="Saída 4 2 3 2 3 3" xfId="13878"/>
    <cellStyle name="Saída 4 2 3 2 3 3 2" xfId="13879"/>
    <cellStyle name="Saída 4 2 3 2 3 4" xfId="13880"/>
    <cellStyle name="Saída 4 2 3 2 3 4 2" xfId="13881"/>
    <cellStyle name="Saída 4 2 3 2 3 5" xfId="13882"/>
    <cellStyle name="Saída 4 2 3 2 3 5 2" xfId="13883"/>
    <cellStyle name="Saída 4 2 3 2 4" xfId="13884"/>
    <cellStyle name="Saída 4 2 3 2 4 2" xfId="13885"/>
    <cellStyle name="Saída 4 2 3 2 5" xfId="13886"/>
    <cellStyle name="Saída 4 2 3 2 5 2" xfId="13887"/>
    <cellStyle name="Saída 4 2 3 2 6" xfId="13888"/>
    <cellStyle name="Saída 4 2 3 2 6 2" xfId="13889"/>
    <cellStyle name="Saída 4 2 3 2 7" xfId="13890"/>
    <cellStyle name="Saída 4 2 3 2 7 2" xfId="13891"/>
    <cellStyle name="Saída 4 2 3 3" xfId="13892"/>
    <cellStyle name="Saída 4 2 3 3 2" xfId="13893"/>
    <cellStyle name="Saída 4 2 3 3 2 2" xfId="13894"/>
    <cellStyle name="Saída 4 2 3 3 3" xfId="13895"/>
    <cellStyle name="Saída 4 2 3 3 3 2" xfId="13896"/>
    <cellStyle name="Saída 4 2 3 3 4" xfId="13897"/>
    <cellStyle name="Saída 4 2 3 3 4 2" xfId="13898"/>
    <cellStyle name="Saída 4 2 3 3 5" xfId="13899"/>
    <cellStyle name="Saída 4 2 3 3 5 2" xfId="13900"/>
    <cellStyle name="Saída 4 2 3 4" xfId="13901"/>
    <cellStyle name="Saída 4 2 3 4 2" xfId="13902"/>
    <cellStyle name="Saída 4 2 3 4 2 2" xfId="13903"/>
    <cellStyle name="Saída 4 2 3 4 3" xfId="13904"/>
    <cellStyle name="Saída 4 2 3 4 3 2" xfId="13905"/>
    <cellStyle name="Saída 4 2 3 4 4" xfId="13906"/>
    <cellStyle name="Saída 4 2 3 4 4 2" xfId="13907"/>
    <cellStyle name="Saída 4 2 3 4 5" xfId="13908"/>
    <cellStyle name="Saída 4 2 3 4 5 2" xfId="13909"/>
    <cellStyle name="Saída 4 2 3 5" xfId="13910"/>
    <cellStyle name="Saída 4 2 3 5 2" xfId="13911"/>
    <cellStyle name="Saída 4 2 3 6" xfId="13912"/>
    <cellStyle name="Saída 4 2 3 6 2" xfId="13913"/>
    <cellStyle name="Saída 4 2 3 7" xfId="13914"/>
    <cellStyle name="Saída 4 2 3 7 2" xfId="13915"/>
    <cellStyle name="Saída 4 2 3 8" xfId="13916"/>
    <cellStyle name="Saída 4 2 3 8 2" xfId="13917"/>
    <cellStyle name="Saída 4 2 4" xfId="2512"/>
    <cellStyle name="Saída 4 2 4 2" xfId="2513"/>
    <cellStyle name="Saída 4 2 4 2 2" xfId="13918"/>
    <cellStyle name="Saída 4 2 4 2 2 2" xfId="13919"/>
    <cellStyle name="Saída 4 2 4 2 2 2 2" xfId="13920"/>
    <cellStyle name="Saída 4 2 4 2 2 3" xfId="13921"/>
    <cellStyle name="Saída 4 2 4 2 2 3 2" xfId="13922"/>
    <cellStyle name="Saída 4 2 4 2 2 4" xfId="13923"/>
    <cellStyle name="Saída 4 2 4 2 2 4 2" xfId="13924"/>
    <cellStyle name="Saída 4 2 4 2 2 5" xfId="13925"/>
    <cellStyle name="Saída 4 2 4 2 2 5 2" xfId="13926"/>
    <cellStyle name="Saída 4 2 4 2 3" xfId="13927"/>
    <cellStyle name="Saída 4 2 4 2 3 2" xfId="13928"/>
    <cellStyle name="Saída 4 2 4 2 3 2 2" xfId="13929"/>
    <cellStyle name="Saída 4 2 4 2 3 3" xfId="13930"/>
    <cellStyle name="Saída 4 2 4 2 3 3 2" xfId="13931"/>
    <cellStyle name="Saída 4 2 4 2 3 4" xfId="13932"/>
    <cellStyle name="Saída 4 2 4 2 3 4 2" xfId="13933"/>
    <cellStyle name="Saída 4 2 4 2 3 5" xfId="13934"/>
    <cellStyle name="Saída 4 2 4 2 3 5 2" xfId="13935"/>
    <cellStyle name="Saída 4 2 4 2 4" xfId="13936"/>
    <cellStyle name="Saída 4 2 4 2 4 2" xfId="13937"/>
    <cellStyle name="Saída 4 2 4 2 5" xfId="13938"/>
    <cellStyle name="Saída 4 2 4 2 5 2" xfId="13939"/>
    <cellStyle name="Saída 4 2 4 2 6" xfId="13940"/>
    <cellStyle name="Saída 4 2 4 2 6 2" xfId="13941"/>
    <cellStyle name="Saída 4 2 4 2 7" xfId="13942"/>
    <cellStyle name="Saída 4 2 4 2 7 2" xfId="13943"/>
    <cellStyle name="Saída 4 2 4 3" xfId="13944"/>
    <cellStyle name="Saída 4 2 4 3 2" xfId="13945"/>
    <cellStyle name="Saída 4 2 4 3 2 2" xfId="13946"/>
    <cellStyle name="Saída 4 2 4 3 3" xfId="13947"/>
    <cellStyle name="Saída 4 2 4 3 3 2" xfId="13948"/>
    <cellStyle name="Saída 4 2 4 3 4" xfId="13949"/>
    <cellStyle name="Saída 4 2 4 3 4 2" xfId="13950"/>
    <cellStyle name="Saída 4 2 4 3 5" xfId="13951"/>
    <cellStyle name="Saída 4 2 4 3 5 2" xfId="13952"/>
    <cellStyle name="Saída 4 2 4 4" xfId="13953"/>
    <cellStyle name="Saída 4 2 4 4 2" xfId="13954"/>
    <cellStyle name="Saída 4 2 4 4 2 2" xfId="13955"/>
    <cellStyle name="Saída 4 2 4 4 3" xfId="13956"/>
    <cellStyle name="Saída 4 2 4 4 3 2" xfId="13957"/>
    <cellStyle name="Saída 4 2 4 4 4" xfId="13958"/>
    <cellStyle name="Saída 4 2 4 4 4 2" xfId="13959"/>
    <cellStyle name="Saída 4 2 4 4 5" xfId="13960"/>
    <cellStyle name="Saída 4 2 4 4 5 2" xfId="13961"/>
    <cellStyle name="Saída 4 2 4 5" xfId="13962"/>
    <cellStyle name="Saída 4 2 4 5 2" xfId="13963"/>
    <cellStyle name="Saída 4 2 4 6" xfId="13964"/>
    <cellStyle name="Saída 4 2 4 6 2" xfId="13965"/>
    <cellStyle name="Saída 4 2 4 7" xfId="13966"/>
    <cellStyle name="Saída 4 2 4 7 2" xfId="13967"/>
    <cellStyle name="Saída 4 2 4 8" xfId="13968"/>
    <cellStyle name="Saída 4 2 4 8 2" xfId="13969"/>
    <cellStyle name="Saída 4 2 5" xfId="2514"/>
    <cellStyle name="Saída 4 2 5 2" xfId="2515"/>
    <cellStyle name="Saída 4 2 5 2 2" xfId="13970"/>
    <cellStyle name="Saída 4 2 5 2 2 2" xfId="13971"/>
    <cellStyle name="Saída 4 2 5 2 2 2 2" xfId="13972"/>
    <cellStyle name="Saída 4 2 5 2 2 3" xfId="13973"/>
    <cellStyle name="Saída 4 2 5 2 2 3 2" xfId="13974"/>
    <cellStyle name="Saída 4 2 5 2 2 4" xfId="13975"/>
    <cellStyle name="Saída 4 2 5 2 2 4 2" xfId="13976"/>
    <cellStyle name="Saída 4 2 5 2 2 5" xfId="13977"/>
    <cellStyle name="Saída 4 2 5 2 2 5 2" xfId="13978"/>
    <cellStyle name="Saída 4 2 5 2 3" xfId="13979"/>
    <cellStyle name="Saída 4 2 5 2 3 2" xfId="13980"/>
    <cellStyle name="Saída 4 2 5 2 3 2 2" xfId="13981"/>
    <cellStyle name="Saída 4 2 5 2 3 3" xfId="13982"/>
    <cellStyle name="Saída 4 2 5 2 3 3 2" xfId="13983"/>
    <cellStyle name="Saída 4 2 5 2 3 4" xfId="13984"/>
    <cellStyle name="Saída 4 2 5 2 3 4 2" xfId="13985"/>
    <cellStyle name="Saída 4 2 5 2 3 5" xfId="13986"/>
    <cellStyle name="Saída 4 2 5 2 3 5 2" xfId="13987"/>
    <cellStyle name="Saída 4 2 5 2 4" xfId="13988"/>
    <cellStyle name="Saída 4 2 5 2 4 2" xfId="13989"/>
    <cellStyle name="Saída 4 2 5 2 5" xfId="13990"/>
    <cellStyle name="Saída 4 2 5 2 5 2" xfId="13991"/>
    <cellStyle name="Saída 4 2 5 2 6" xfId="13992"/>
    <cellStyle name="Saída 4 2 5 2 6 2" xfId="13993"/>
    <cellStyle name="Saída 4 2 5 2 7" xfId="13994"/>
    <cellStyle name="Saída 4 2 5 2 7 2" xfId="13995"/>
    <cellStyle name="Saída 4 2 5 3" xfId="13996"/>
    <cellStyle name="Saída 4 2 5 3 2" xfId="13997"/>
    <cellStyle name="Saída 4 2 5 3 2 2" xfId="13998"/>
    <cellStyle name="Saída 4 2 5 3 3" xfId="13999"/>
    <cellStyle name="Saída 4 2 5 3 3 2" xfId="14000"/>
    <cellStyle name="Saída 4 2 5 3 4" xfId="14001"/>
    <cellStyle name="Saída 4 2 5 3 4 2" xfId="14002"/>
    <cellStyle name="Saída 4 2 5 3 5" xfId="14003"/>
    <cellStyle name="Saída 4 2 5 3 5 2" xfId="14004"/>
    <cellStyle name="Saída 4 2 5 4" xfId="14005"/>
    <cellStyle name="Saída 4 2 5 4 2" xfId="14006"/>
    <cellStyle name="Saída 4 2 5 4 2 2" xfId="14007"/>
    <cellStyle name="Saída 4 2 5 4 3" xfId="14008"/>
    <cellStyle name="Saída 4 2 5 4 3 2" xfId="14009"/>
    <cellStyle name="Saída 4 2 5 4 4" xfId="14010"/>
    <cellStyle name="Saída 4 2 5 4 4 2" xfId="14011"/>
    <cellStyle name="Saída 4 2 5 4 5" xfId="14012"/>
    <cellStyle name="Saída 4 2 5 4 5 2" xfId="14013"/>
    <cellStyle name="Saída 4 2 5 5" xfId="14014"/>
    <cellStyle name="Saída 4 2 5 5 2" xfId="14015"/>
    <cellStyle name="Saída 4 2 5 6" xfId="14016"/>
    <cellStyle name="Saída 4 2 5 6 2" xfId="14017"/>
    <cellStyle name="Saída 4 2 5 7" xfId="14018"/>
    <cellStyle name="Saída 4 2 5 7 2" xfId="14019"/>
    <cellStyle name="Saída 4 2 5 8" xfId="14020"/>
    <cellStyle name="Saída 4 2 5 8 2" xfId="14021"/>
    <cellStyle name="Saída 4 2 6" xfId="2516"/>
    <cellStyle name="Saída 4 2 6 2" xfId="14022"/>
    <cellStyle name="Saída 4 2 6 2 2" xfId="14023"/>
    <cellStyle name="Saída 4 2 6 2 2 2" xfId="14024"/>
    <cellStyle name="Saída 4 2 6 2 3" xfId="14025"/>
    <cellStyle name="Saída 4 2 6 2 3 2" xfId="14026"/>
    <cellStyle name="Saída 4 2 6 2 4" xfId="14027"/>
    <cellStyle name="Saída 4 2 6 2 4 2" xfId="14028"/>
    <cellStyle name="Saída 4 2 6 2 5" xfId="14029"/>
    <cellStyle name="Saída 4 2 6 2 5 2" xfId="14030"/>
    <cellStyle name="Saída 4 2 6 3" xfId="14031"/>
    <cellStyle name="Saída 4 2 6 3 2" xfId="14032"/>
    <cellStyle name="Saída 4 2 6 3 2 2" xfId="14033"/>
    <cellStyle name="Saída 4 2 6 3 3" xfId="14034"/>
    <cellStyle name="Saída 4 2 6 3 3 2" xfId="14035"/>
    <cellStyle name="Saída 4 2 6 3 4" xfId="14036"/>
    <cellStyle name="Saída 4 2 6 3 4 2" xfId="14037"/>
    <cellStyle name="Saída 4 2 6 3 5" xfId="14038"/>
    <cellStyle name="Saída 4 2 6 3 5 2" xfId="14039"/>
    <cellStyle name="Saída 4 2 6 4" xfId="14040"/>
    <cellStyle name="Saída 4 2 6 4 2" xfId="14041"/>
    <cellStyle name="Saída 4 2 6 5" xfId="14042"/>
    <cellStyle name="Saída 4 2 6 5 2" xfId="14043"/>
    <cellStyle name="Saída 4 2 6 6" xfId="14044"/>
    <cellStyle name="Saída 4 2 6 6 2" xfId="14045"/>
    <cellStyle name="Saída 4 2 6 7" xfId="14046"/>
    <cellStyle name="Saída 4 2 6 7 2" xfId="14047"/>
    <cellStyle name="Saída 4 2 7" xfId="14048"/>
    <cellStyle name="Saída 4 2 7 2" xfId="14049"/>
    <cellStyle name="Saída 4 2 7 2 2" xfId="14050"/>
    <cellStyle name="Saída 4 2 7 3" xfId="14051"/>
    <cellStyle name="Saída 4 2 7 3 2" xfId="14052"/>
    <cellStyle name="Saída 4 2 7 4" xfId="14053"/>
    <cellStyle name="Saída 4 2 7 4 2" xfId="14054"/>
    <cellStyle name="Saída 4 2 7 5" xfId="14055"/>
    <cellStyle name="Saída 4 2 7 5 2" xfId="14056"/>
    <cellStyle name="Saída 4 2 8" xfId="14057"/>
    <cellStyle name="Saída 4 2 8 2" xfId="14058"/>
    <cellStyle name="Saída 4 2 8 2 2" xfId="14059"/>
    <cellStyle name="Saída 4 2 8 3" xfId="14060"/>
    <cellStyle name="Saída 4 2 8 3 2" xfId="14061"/>
    <cellStyle name="Saída 4 2 8 4" xfId="14062"/>
    <cellStyle name="Saída 4 2 8 4 2" xfId="14063"/>
    <cellStyle name="Saída 4 2 8 5" xfId="14064"/>
    <cellStyle name="Saída 4 2 8 5 2" xfId="14065"/>
    <cellStyle name="Saída 4 2 9" xfId="14066"/>
    <cellStyle name="Saída 4 2 9 2" xfId="14067"/>
    <cellStyle name="Saída 4 3" xfId="2517"/>
    <cellStyle name="Saída 4 3 2" xfId="2518"/>
    <cellStyle name="Saída 4 3 2 2" xfId="14068"/>
    <cellStyle name="Saída 4 3 2 2 2" xfId="14069"/>
    <cellStyle name="Saída 4 3 2 2 2 2" xfId="14070"/>
    <cellStyle name="Saída 4 3 2 2 3" xfId="14071"/>
    <cellStyle name="Saída 4 3 2 2 3 2" xfId="14072"/>
    <cellStyle name="Saída 4 3 2 2 4" xfId="14073"/>
    <cellStyle name="Saída 4 3 2 2 4 2" xfId="14074"/>
    <cellStyle name="Saída 4 3 2 2 5" xfId="14075"/>
    <cellStyle name="Saída 4 3 2 2 5 2" xfId="14076"/>
    <cellStyle name="Saída 4 3 2 3" xfId="14077"/>
    <cellStyle name="Saída 4 3 2 3 2" xfId="14078"/>
    <cellStyle name="Saída 4 3 2 3 2 2" xfId="14079"/>
    <cellStyle name="Saída 4 3 2 3 3" xfId="14080"/>
    <cellStyle name="Saída 4 3 2 3 3 2" xfId="14081"/>
    <cellStyle name="Saída 4 3 2 3 4" xfId="14082"/>
    <cellStyle name="Saída 4 3 2 3 4 2" xfId="14083"/>
    <cellStyle name="Saída 4 3 2 3 5" xfId="14084"/>
    <cellStyle name="Saída 4 3 2 3 5 2" xfId="14085"/>
    <cellStyle name="Saída 4 3 2 4" xfId="14086"/>
    <cellStyle name="Saída 4 3 2 4 2" xfId="14087"/>
    <cellStyle name="Saída 4 3 2 5" xfId="14088"/>
    <cellStyle name="Saída 4 3 2 5 2" xfId="14089"/>
    <cellStyle name="Saída 4 3 2 6" xfId="14090"/>
    <cellStyle name="Saída 4 3 2 6 2" xfId="14091"/>
    <cellStyle name="Saída 4 3 2 7" xfId="14092"/>
    <cellStyle name="Saída 4 3 2 7 2" xfId="14093"/>
    <cellStyle name="Saída 4 3 3" xfId="14094"/>
    <cellStyle name="Saída 4 3 3 2" xfId="14095"/>
    <cellStyle name="Saída 4 3 3 2 2" xfId="14096"/>
    <cellStyle name="Saída 4 3 3 3" xfId="14097"/>
    <cellStyle name="Saída 4 3 3 3 2" xfId="14098"/>
    <cellStyle name="Saída 4 3 3 4" xfId="14099"/>
    <cellStyle name="Saída 4 3 3 4 2" xfId="14100"/>
    <cellStyle name="Saída 4 3 3 5" xfId="14101"/>
    <cellStyle name="Saída 4 3 3 5 2" xfId="14102"/>
    <cellStyle name="Saída 4 3 4" xfId="14103"/>
    <cellStyle name="Saída 4 3 4 2" xfId="14104"/>
    <cellStyle name="Saída 4 3 4 2 2" xfId="14105"/>
    <cellStyle name="Saída 4 3 4 3" xfId="14106"/>
    <cellStyle name="Saída 4 3 4 3 2" xfId="14107"/>
    <cellStyle name="Saída 4 3 4 4" xfId="14108"/>
    <cellStyle name="Saída 4 3 4 4 2" xfId="14109"/>
    <cellStyle name="Saída 4 3 4 5" xfId="14110"/>
    <cellStyle name="Saída 4 3 4 5 2" xfId="14111"/>
    <cellStyle name="Saída 4 3 5" xfId="14112"/>
    <cellStyle name="Saída 4 3 5 2" xfId="14113"/>
    <cellStyle name="Saída 4 3 6" xfId="14114"/>
    <cellStyle name="Saída 4 3 6 2" xfId="14115"/>
    <cellStyle name="Saída 4 3 7" xfId="14116"/>
    <cellStyle name="Saída 4 3 7 2" xfId="14117"/>
    <cellStyle name="Saída 4 3 8" xfId="14118"/>
    <cellStyle name="Saída 4 3 8 2" xfId="14119"/>
    <cellStyle name="Saída 4 4" xfId="2519"/>
    <cellStyle name="Saída 4 4 2" xfId="2520"/>
    <cellStyle name="Saída 4 4 2 2" xfId="14120"/>
    <cellStyle name="Saída 4 4 2 2 2" xfId="14121"/>
    <cellStyle name="Saída 4 4 2 2 2 2" xfId="14122"/>
    <cellStyle name="Saída 4 4 2 2 3" xfId="14123"/>
    <cellStyle name="Saída 4 4 2 2 3 2" xfId="14124"/>
    <cellStyle name="Saída 4 4 2 2 4" xfId="14125"/>
    <cellStyle name="Saída 4 4 2 2 4 2" xfId="14126"/>
    <cellStyle name="Saída 4 4 2 2 5" xfId="14127"/>
    <cellStyle name="Saída 4 4 2 2 5 2" xfId="14128"/>
    <cellStyle name="Saída 4 4 2 3" xfId="14129"/>
    <cellStyle name="Saída 4 4 2 3 2" xfId="14130"/>
    <cellStyle name="Saída 4 4 2 3 2 2" xfId="14131"/>
    <cellStyle name="Saída 4 4 2 3 3" xfId="14132"/>
    <cellStyle name="Saída 4 4 2 3 3 2" xfId="14133"/>
    <cellStyle name="Saída 4 4 2 3 4" xfId="14134"/>
    <cellStyle name="Saída 4 4 2 3 4 2" xfId="14135"/>
    <cellStyle name="Saída 4 4 2 3 5" xfId="14136"/>
    <cellStyle name="Saída 4 4 2 3 5 2" xfId="14137"/>
    <cellStyle name="Saída 4 4 2 4" xfId="14138"/>
    <cellStyle name="Saída 4 4 2 4 2" xfId="14139"/>
    <cellStyle name="Saída 4 4 2 5" xfId="14140"/>
    <cellStyle name="Saída 4 4 2 5 2" xfId="14141"/>
    <cellStyle name="Saída 4 4 2 6" xfId="14142"/>
    <cellStyle name="Saída 4 4 2 6 2" xfId="14143"/>
    <cellStyle name="Saída 4 4 2 7" xfId="14144"/>
    <cellStyle name="Saída 4 4 2 7 2" xfId="14145"/>
    <cellStyle name="Saída 4 4 3" xfId="14146"/>
    <cellStyle name="Saída 4 4 3 2" xfId="14147"/>
    <cellStyle name="Saída 4 4 3 2 2" xfId="14148"/>
    <cellStyle name="Saída 4 4 3 3" xfId="14149"/>
    <cellStyle name="Saída 4 4 3 3 2" xfId="14150"/>
    <cellStyle name="Saída 4 4 3 4" xfId="14151"/>
    <cellStyle name="Saída 4 4 3 4 2" xfId="14152"/>
    <cellStyle name="Saída 4 4 3 5" xfId="14153"/>
    <cellStyle name="Saída 4 4 3 5 2" xfId="14154"/>
    <cellStyle name="Saída 4 4 4" xfId="14155"/>
    <cellStyle name="Saída 4 4 4 2" xfId="14156"/>
    <cellStyle name="Saída 4 4 4 2 2" xfId="14157"/>
    <cellStyle name="Saída 4 4 4 3" xfId="14158"/>
    <cellStyle name="Saída 4 4 4 3 2" xfId="14159"/>
    <cellStyle name="Saída 4 4 4 4" xfId="14160"/>
    <cellStyle name="Saída 4 4 4 4 2" xfId="14161"/>
    <cellStyle name="Saída 4 4 4 5" xfId="14162"/>
    <cellStyle name="Saída 4 4 4 5 2" xfId="14163"/>
    <cellStyle name="Saída 4 4 5" xfId="14164"/>
    <cellStyle name="Saída 4 4 5 2" xfId="14165"/>
    <cellStyle name="Saída 4 4 6" xfId="14166"/>
    <cellStyle name="Saída 4 4 6 2" xfId="14167"/>
    <cellStyle name="Saída 4 4 7" xfId="14168"/>
    <cellStyle name="Saída 4 4 7 2" xfId="14169"/>
    <cellStyle name="Saída 4 4 8" xfId="14170"/>
    <cellStyle name="Saída 4 4 8 2" xfId="14171"/>
    <cellStyle name="Saída 4 5" xfId="2521"/>
    <cellStyle name="Saída 4 5 2" xfId="2522"/>
    <cellStyle name="Saída 4 5 2 2" xfId="14172"/>
    <cellStyle name="Saída 4 5 2 2 2" xfId="14173"/>
    <cellStyle name="Saída 4 5 2 2 2 2" xfId="14174"/>
    <cellStyle name="Saída 4 5 2 2 3" xfId="14175"/>
    <cellStyle name="Saída 4 5 2 2 3 2" xfId="14176"/>
    <cellStyle name="Saída 4 5 2 2 4" xfId="14177"/>
    <cellStyle name="Saída 4 5 2 2 4 2" xfId="14178"/>
    <cellStyle name="Saída 4 5 2 2 5" xfId="14179"/>
    <cellStyle name="Saída 4 5 2 2 5 2" xfId="14180"/>
    <cellStyle name="Saída 4 5 2 3" xfId="14181"/>
    <cellStyle name="Saída 4 5 2 3 2" xfId="14182"/>
    <cellStyle name="Saída 4 5 2 3 2 2" xfId="14183"/>
    <cellStyle name="Saída 4 5 2 3 3" xfId="14184"/>
    <cellStyle name="Saída 4 5 2 3 3 2" xfId="14185"/>
    <cellStyle name="Saída 4 5 2 3 4" xfId="14186"/>
    <cellStyle name="Saída 4 5 2 3 4 2" xfId="14187"/>
    <cellStyle name="Saída 4 5 2 3 5" xfId="14188"/>
    <cellStyle name="Saída 4 5 2 3 5 2" xfId="14189"/>
    <cellStyle name="Saída 4 5 2 4" xfId="14190"/>
    <cellStyle name="Saída 4 5 2 4 2" xfId="14191"/>
    <cellStyle name="Saída 4 5 2 5" xfId="14192"/>
    <cellStyle name="Saída 4 5 2 5 2" xfId="14193"/>
    <cellStyle name="Saída 4 5 2 6" xfId="14194"/>
    <cellStyle name="Saída 4 5 2 6 2" xfId="14195"/>
    <cellStyle name="Saída 4 5 2 7" xfId="14196"/>
    <cellStyle name="Saída 4 5 2 7 2" xfId="14197"/>
    <cellStyle name="Saída 4 5 3" xfId="14198"/>
    <cellStyle name="Saída 4 5 3 2" xfId="14199"/>
    <cellStyle name="Saída 4 5 3 2 2" xfId="14200"/>
    <cellStyle name="Saída 4 5 3 3" xfId="14201"/>
    <cellStyle name="Saída 4 5 3 3 2" xfId="14202"/>
    <cellStyle name="Saída 4 5 3 4" xfId="14203"/>
    <cellStyle name="Saída 4 5 3 4 2" xfId="14204"/>
    <cellStyle name="Saída 4 5 3 5" xfId="14205"/>
    <cellStyle name="Saída 4 5 3 5 2" xfId="14206"/>
    <cellStyle name="Saída 4 5 4" xfId="14207"/>
    <cellStyle name="Saída 4 5 4 2" xfId="14208"/>
    <cellStyle name="Saída 4 5 4 2 2" xfId="14209"/>
    <cellStyle name="Saída 4 5 4 3" xfId="14210"/>
    <cellStyle name="Saída 4 5 4 3 2" xfId="14211"/>
    <cellStyle name="Saída 4 5 4 4" xfId="14212"/>
    <cellStyle name="Saída 4 5 4 4 2" xfId="14213"/>
    <cellStyle name="Saída 4 5 4 5" xfId="14214"/>
    <cellStyle name="Saída 4 5 4 5 2" xfId="14215"/>
    <cellStyle name="Saída 4 5 5" xfId="14216"/>
    <cellStyle name="Saída 4 5 5 2" xfId="14217"/>
    <cellStyle name="Saída 4 5 6" xfId="14218"/>
    <cellStyle name="Saída 4 5 6 2" xfId="14219"/>
    <cellStyle name="Saída 4 5 7" xfId="14220"/>
    <cellStyle name="Saída 4 5 7 2" xfId="14221"/>
    <cellStyle name="Saída 4 5 8" xfId="14222"/>
    <cellStyle name="Saída 4 5 8 2" xfId="14223"/>
    <cellStyle name="Saída 4 6" xfId="2523"/>
    <cellStyle name="Saída 4 6 2" xfId="2524"/>
    <cellStyle name="Saída 4 6 2 2" xfId="14224"/>
    <cellStyle name="Saída 4 6 2 2 2" xfId="14225"/>
    <cellStyle name="Saída 4 6 2 2 2 2" xfId="14226"/>
    <cellStyle name="Saída 4 6 2 2 3" xfId="14227"/>
    <cellStyle name="Saída 4 6 2 2 3 2" xfId="14228"/>
    <cellStyle name="Saída 4 6 2 2 4" xfId="14229"/>
    <cellStyle name="Saída 4 6 2 2 4 2" xfId="14230"/>
    <cellStyle name="Saída 4 6 2 2 5" xfId="14231"/>
    <cellStyle name="Saída 4 6 2 2 5 2" xfId="14232"/>
    <cellStyle name="Saída 4 6 2 3" xfId="14233"/>
    <cellStyle name="Saída 4 6 2 3 2" xfId="14234"/>
    <cellStyle name="Saída 4 6 2 3 2 2" xfId="14235"/>
    <cellStyle name="Saída 4 6 2 3 3" xfId="14236"/>
    <cellStyle name="Saída 4 6 2 3 3 2" xfId="14237"/>
    <cellStyle name="Saída 4 6 2 3 4" xfId="14238"/>
    <cellStyle name="Saída 4 6 2 3 4 2" xfId="14239"/>
    <cellStyle name="Saída 4 6 2 3 5" xfId="14240"/>
    <cellStyle name="Saída 4 6 2 3 5 2" xfId="14241"/>
    <cellStyle name="Saída 4 6 2 4" xfId="14242"/>
    <cellStyle name="Saída 4 6 2 4 2" xfId="14243"/>
    <cellStyle name="Saída 4 6 2 5" xfId="14244"/>
    <cellStyle name="Saída 4 6 2 5 2" xfId="14245"/>
    <cellStyle name="Saída 4 6 2 6" xfId="14246"/>
    <cellStyle name="Saída 4 6 2 6 2" xfId="14247"/>
    <cellStyle name="Saída 4 6 2 7" xfId="14248"/>
    <cellStyle name="Saída 4 6 2 7 2" xfId="14249"/>
    <cellStyle name="Saída 4 6 3" xfId="14250"/>
    <cellStyle name="Saída 4 6 3 2" xfId="14251"/>
    <cellStyle name="Saída 4 6 3 2 2" xfId="14252"/>
    <cellStyle name="Saída 4 6 3 3" xfId="14253"/>
    <cellStyle name="Saída 4 6 3 3 2" xfId="14254"/>
    <cellStyle name="Saída 4 6 3 4" xfId="14255"/>
    <cellStyle name="Saída 4 6 3 4 2" xfId="14256"/>
    <cellStyle name="Saída 4 6 3 5" xfId="14257"/>
    <cellStyle name="Saída 4 6 3 5 2" xfId="14258"/>
    <cellStyle name="Saída 4 6 4" xfId="14259"/>
    <cellStyle name="Saída 4 6 4 2" xfId="14260"/>
    <cellStyle name="Saída 4 6 4 2 2" xfId="14261"/>
    <cellStyle name="Saída 4 6 4 3" xfId="14262"/>
    <cellStyle name="Saída 4 6 4 3 2" xfId="14263"/>
    <cellStyle name="Saída 4 6 4 4" xfId="14264"/>
    <cellStyle name="Saída 4 6 4 4 2" xfId="14265"/>
    <cellStyle name="Saída 4 6 4 5" xfId="14266"/>
    <cellStyle name="Saída 4 6 4 5 2" xfId="14267"/>
    <cellStyle name="Saída 4 6 5" xfId="14268"/>
    <cellStyle name="Saída 4 6 5 2" xfId="14269"/>
    <cellStyle name="Saída 4 6 6" xfId="14270"/>
    <cellStyle name="Saída 4 6 6 2" xfId="14271"/>
    <cellStyle name="Saída 4 6 7" xfId="14272"/>
    <cellStyle name="Saída 4 6 7 2" xfId="14273"/>
    <cellStyle name="Saída 4 6 8" xfId="14274"/>
    <cellStyle name="Saída 4 6 8 2" xfId="14275"/>
    <cellStyle name="Saída 4 7" xfId="2525"/>
    <cellStyle name="Saída 4 7 2" xfId="14276"/>
    <cellStyle name="Saída 4 7 2 2" xfId="14277"/>
    <cellStyle name="Saída 4 7 2 2 2" xfId="14278"/>
    <cellStyle name="Saída 4 7 2 3" xfId="14279"/>
    <cellStyle name="Saída 4 7 2 3 2" xfId="14280"/>
    <cellStyle name="Saída 4 7 2 4" xfId="14281"/>
    <cellStyle name="Saída 4 7 2 4 2" xfId="14282"/>
    <cellStyle name="Saída 4 7 2 5" xfId="14283"/>
    <cellStyle name="Saída 4 7 2 5 2" xfId="14284"/>
    <cellStyle name="Saída 4 7 3" xfId="14285"/>
    <cellStyle name="Saída 4 7 3 2" xfId="14286"/>
    <cellStyle name="Saída 4 7 3 2 2" xfId="14287"/>
    <cellStyle name="Saída 4 7 3 3" xfId="14288"/>
    <cellStyle name="Saída 4 7 3 3 2" xfId="14289"/>
    <cellStyle name="Saída 4 7 3 4" xfId="14290"/>
    <cellStyle name="Saída 4 7 3 4 2" xfId="14291"/>
    <cellStyle name="Saída 4 7 3 5" xfId="14292"/>
    <cellStyle name="Saída 4 7 3 5 2" xfId="14293"/>
    <cellStyle name="Saída 4 7 4" xfId="14294"/>
    <cellStyle name="Saída 4 7 4 2" xfId="14295"/>
    <cellStyle name="Saída 4 7 5" xfId="14296"/>
    <cellStyle name="Saída 4 7 5 2" xfId="14297"/>
    <cellStyle name="Saída 4 7 6" xfId="14298"/>
    <cellStyle name="Saída 4 7 6 2" xfId="14299"/>
    <cellStyle name="Saída 4 7 7" xfId="14300"/>
    <cellStyle name="Saída 4 7 7 2" xfId="14301"/>
    <cellStyle name="Saída 4 8" xfId="14302"/>
    <cellStyle name="Saída 4 8 2" xfId="14303"/>
    <cellStyle name="Saída 4 8 2 2" xfId="14304"/>
    <cellStyle name="Saída 4 8 3" xfId="14305"/>
    <cellStyle name="Saída 4 8 3 2" xfId="14306"/>
    <cellStyle name="Saída 4 8 4" xfId="14307"/>
    <cellStyle name="Saída 4 8 4 2" xfId="14308"/>
    <cellStyle name="Saída 4 8 5" xfId="14309"/>
    <cellStyle name="Saída 4 8 5 2" xfId="14310"/>
    <cellStyle name="Saída 4 9" xfId="14311"/>
    <cellStyle name="Saída 4 9 2" xfId="14312"/>
    <cellStyle name="Saída 4 9 2 2" xfId="14313"/>
    <cellStyle name="Saída 4 9 3" xfId="14314"/>
    <cellStyle name="Saída 4 9 3 2" xfId="14315"/>
    <cellStyle name="Saída 4 9 4" xfId="14316"/>
    <cellStyle name="Saída 4 9 4 2" xfId="14317"/>
    <cellStyle name="Saída 4 9 5" xfId="14318"/>
    <cellStyle name="Saída 4 9 5 2" xfId="14319"/>
    <cellStyle name="Saída 5" xfId="1699"/>
    <cellStyle name="Saída 5 10" xfId="14320"/>
    <cellStyle name="Saída 5 10 2" xfId="14321"/>
    <cellStyle name="Saída 5 11" xfId="14322"/>
    <cellStyle name="Saída 5 11 2" xfId="14323"/>
    <cellStyle name="Saída 5 12" xfId="14324"/>
    <cellStyle name="Saída 5 12 2" xfId="14325"/>
    <cellStyle name="Saída 5 13" xfId="14326"/>
    <cellStyle name="Saída 5 13 2" xfId="14327"/>
    <cellStyle name="Saída 5 2" xfId="2526"/>
    <cellStyle name="Saída 5 2 10" xfId="14328"/>
    <cellStyle name="Saída 5 2 10 2" xfId="14329"/>
    <cellStyle name="Saída 5 2 11" xfId="14330"/>
    <cellStyle name="Saída 5 2 11 2" xfId="14331"/>
    <cellStyle name="Saída 5 2 12" xfId="14332"/>
    <cellStyle name="Saída 5 2 12 2" xfId="14333"/>
    <cellStyle name="Saída 5 2 2" xfId="2527"/>
    <cellStyle name="Saída 5 2 2 2" xfId="2528"/>
    <cellStyle name="Saída 5 2 2 2 2" xfId="14334"/>
    <cellStyle name="Saída 5 2 2 2 2 2" xfId="14335"/>
    <cellStyle name="Saída 5 2 2 2 2 2 2" xfId="14336"/>
    <cellStyle name="Saída 5 2 2 2 2 3" xfId="14337"/>
    <cellStyle name="Saída 5 2 2 2 2 3 2" xfId="14338"/>
    <cellStyle name="Saída 5 2 2 2 2 4" xfId="14339"/>
    <cellStyle name="Saída 5 2 2 2 2 4 2" xfId="14340"/>
    <cellStyle name="Saída 5 2 2 2 2 5" xfId="14341"/>
    <cellStyle name="Saída 5 2 2 2 2 5 2" xfId="14342"/>
    <cellStyle name="Saída 5 2 2 2 3" xfId="14343"/>
    <cellStyle name="Saída 5 2 2 2 3 2" xfId="14344"/>
    <cellStyle name="Saída 5 2 2 2 3 2 2" xfId="14345"/>
    <cellStyle name="Saída 5 2 2 2 3 3" xfId="14346"/>
    <cellStyle name="Saída 5 2 2 2 3 3 2" xfId="14347"/>
    <cellStyle name="Saída 5 2 2 2 3 4" xfId="14348"/>
    <cellStyle name="Saída 5 2 2 2 3 4 2" xfId="14349"/>
    <cellStyle name="Saída 5 2 2 2 3 5" xfId="14350"/>
    <cellStyle name="Saída 5 2 2 2 3 5 2" xfId="14351"/>
    <cellStyle name="Saída 5 2 2 2 4" xfId="14352"/>
    <cellStyle name="Saída 5 2 2 2 4 2" xfId="14353"/>
    <cellStyle name="Saída 5 2 2 2 5" xfId="14354"/>
    <cellStyle name="Saída 5 2 2 2 5 2" xfId="14355"/>
    <cellStyle name="Saída 5 2 2 2 6" xfId="14356"/>
    <cellStyle name="Saída 5 2 2 2 6 2" xfId="14357"/>
    <cellStyle name="Saída 5 2 2 2 7" xfId="14358"/>
    <cellStyle name="Saída 5 2 2 2 7 2" xfId="14359"/>
    <cellStyle name="Saída 5 2 2 3" xfId="14360"/>
    <cellStyle name="Saída 5 2 2 3 2" xfId="14361"/>
    <cellStyle name="Saída 5 2 2 3 2 2" xfId="14362"/>
    <cellStyle name="Saída 5 2 2 3 3" xfId="14363"/>
    <cellStyle name="Saída 5 2 2 3 3 2" xfId="14364"/>
    <cellStyle name="Saída 5 2 2 3 4" xfId="14365"/>
    <cellStyle name="Saída 5 2 2 3 4 2" xfId="14366"/>
    <cellStyle name="Saída 5 2 2 3 5" xfId="14367"/>
    <cellStyle name="Saída 5 2 2 3 5 2" xfId="14368"/>
    <cellStyle name="Saída 5 2 2 4" xfId="14369"/>
    <cellStyle name="Saída 5 2 2 4 2" xfId="14370"/>
    <cellStyle name="Saída 5 2 2 4 2 2" xfId="14371"/>
    <cellStyle name="Saída 5 2 2 4 3" xfId="14372"/>
    <cellStyle name="Saída 5 2 2 4 3 2" xfId="14373"/>
    <cellStyle name="Saída 5 2 2 4 4" xfId="14374"/>
    <cellStyle name="Saída 5 2 2 4 4 2" xfId="14375"/>
    <cellStyle name="Saída 5 2 2 4 5" xfId="14376"/>
    <cellStyle name="Saída 5 2 2 4 5 2" xfId="14377"/>
    <cellStyle name="Saída 5 2 2 5" xfId="14378"/>
    <cellStyle name="Saída 5 2 2 5 2" xfId="14379"/>
    <cellStyle name="Saída 5 2 2 6" xfId="14380"/>
    <cellStyle name="Saída 5 2 2 6 2" xfId="14381"/>
    <cellStyle name="Saída 5 2 2 7" xfId="14382"/>
    <cellStyle name="Saída 5 2 2 7 2" xfId="14383"/>
    <cellStyle name="Saída 5 2 2 8" xfId="14384"/>
    <cellStyle name="Saída 5 2 2 8 2" xfId="14385"/>
    <cellStyle name="Saída 5 2 3" xfId="2529"/>
    <cellStyle name="Saída 5 2 3 2" xfId="2530"/>
    <cellStyle name="Saída 5 2 3 2 2" xfId="14386"/>
    <cellStyle name="Saída 5 2 3 2 2 2" xfId="14387"/>
    <cellStyle name="Saída 5 2 3 2 2 2 2" xfId="14388"/>
    <cellStyle name="Saída 5 2 3 2 2 3" xfId="14389"/>
    <cellStyle name="Saída 5 2 3 2 2 3 2" xfId="14390"/>
    <cellStyle name="Saída 5 2 3 2 2 4" xfId="14391"/>
    <cellStyle name="Saída 5 2 3 2 2 4 2" xfId="14392"/>
    <cellStyle name="Saída 5 2 3 2 2 5" xfId="14393"/>
    <cellStyle name="Saída 5 2 3 2 2 5 2" xfId="14394"/>
    <cellStyle name="Saída 5 2 3 2 3" xfId="14395"/>
    <cellStyle name="Saída 5 2 3 2 3 2" xfId="14396"/>
    <cellStyle name="Saída 5 2 3 2 3 2 2" xfId="14397"/>
    <cellStyle name="Saída 5 2 3 2 3 3" xfId="14398"/>
    <cellStyle name="Saída 5 2 3 2 3 3 2" xfId="14399"/>
    <cellStyle name="Saída 5 2 3 2 3 4" xfId="14400"/>
    <cellStyle name="Saída 5 2 3 2 3 4 2" xfId="14401"/>
    <cellStyle name="Saída 5 2 3 2 3 5" xfId="14402"/>
    <cellStyle name="Saída 5 2 3 2 3 5 2" xfId="14403"/>
    <cellStyle name="Saída 5 2 3 2 4" xfId="14404"/>
    <cellStyle name="Saída 5 2 3 2 4 2" xfId="14405"/>
    <cellStyle name="Saída 5 2 3 2 5" xfId="14406"/>
    <cellStyle name="Saída 5 2 3 2 5 2" xfId="14407"/>
    <cellStyle name="Saída 5 2 3 2 6" xfId="14408"/>
    <cellStyle name="Saída 5 2 3 2 6 2" xfId="14409"/>
    <cellStyle name="Saída 5 2 3 2 7" xfId="14410"/>
    <cellStyle name="Saída 5 2 3 2 7 2" xfId="14411"/>
    <cellStyle name="Saída 5 2 3 3" xfId="14412"/>
    <cellStyle name="Saída 5 2 3 3 2" xfId="14413"/>
    <cellStyle name="Saída 5 2 3 3 2 2" xfId="14414"/>
    <cellStyle name="Saída 5 2 3 3 3" xfId="14415"/>
    <cellStyle name="Saída 5 2 3 3 3 2" xfId="14416"/>
    <cellStyle name="Saída 5 2 3 3 4" xfId="14417"/>
    <cellStyle name="Saída 5 2 3 3 4 2" xfId="14418"/>
    <cellStyle name="Saída 5 2 3 3 5" xfId="14419"/>
    <cellStyle name="Saída 5 2 3 3 5 2" xfId="14420"/>
    <cellStyle name="Saída 5 2 3 4" xfId="14421"/>
    <cellStyle name="Saída 5 2 3 4 2" xfId="14422"/>
    <cellStyle name="Saída 5 2 3 4 2 2" xfId="14423"/>
    <cellStyle name="Saída 5 2 3 4 3" xfId="14424"/>
    <cellStyle name="Saída 5 2 3 4 3 2" xfId="14425"/>
    <cellStyle name="Saída 5 2 3 4 4" xfId="14426"/>
    <cellStyle name="Saída 5 2 3 4 4 2" xfId="14427"/>
    <cellStyle name="Saída 5 2 3 4 5" xfId="14428"/>
    <cellStyle name="Saída 5 2 3 4 5 2" xfId="14429"/>
    <cellStyle name="Saída 5 2 3 5" xfId="14430"/>
    <cellStyle name="Saída 5 2 3 5 2" xfId="14431"/>
    <cellStyle name="Saída 5 2 3 6" xfId="14432"/>
    <cellStyle name="Saída 5 2 3 6 2" xfId="14433"/>
    <cellStyle name="Saída 5 2 3 7" xfId="14434"/>
    <cellStyle name="Saída 5 2 3 7 2" xfId="14435"/>
    <cellStyle name="Saída 5 2 3 8" xfId="14436"/>
    <cellStyle name="Saída 5 2 3 8 2" xfId="14437"/>
    <cellStyle name="Saída 5 2 4" xfId="2531"/>
    <cellStyle name="Saída 5 2 4 2" xfId="2532"/>
    <cellStyle name="Saída 5 2 4 2 2" xfId="14438"/>
    <cellStyle name="Saída 5 2 4 2 2 2" xfId="14439"/>
    <cellStyle name="Saída 5 2 4 2 2 2 2" xfId="14440"/>
    <cellStyle name="Saída 5 2 4 2 2 3" xfId="14441"/>
    <cellStyle name="Saída 5 2 4 2 2 3 2" xfId="14442"/>
    <cellStyle name="Saída 5 2 4 2 2 4" xfId="14443"/>
    <cellStyle name="Saída 5 2 4 2 2 4 2" xfId="14444"/>
    <cellStyle name="Saída 5 2 4 2 2 5" xfId="14445"/>
    <cellStyle name="Saída 5 2 4 2 2 5 2" xfId="14446"/>
    <cellStyle name="Saída 5 2 4 2 3" xfId="14447"/>
    <cellStyle name="Saída 5 2 4 2 3 2" xfId="14448"/>
    <cellStyle name="Saída 5 2 4 2 3 2 2" xfId="14449"/>
    <cellStyle name="Saída 5 2 4 2 3 3" xfId="14450"/>
    <cellStyle name="Saída 5 2 4 2 3 3 2" xfId="14451"/>
    <cellStyle name="Saída 5 2 4 2 3 4" xfId="14452"/>
    <cellStyle name="Saída 5 2 4 2 3 4 2" xfId="14453"/>
    <cellStyle name="Saída 5 2 4 2 3 5" xfId="14454"/>
    <cellStyle name="Saída 5 2 4 2 3 5 2" xfId="14455"/>
    <cellStyle name="Saída 5 2 4 2 4" xfId="14456"/>
    <cellStyle name="Saída 5 2 4 2 4 2" xfId="14457"/>
    <cellStyle name="Saída 5 2 4 2 5" xfId="14458"/>
    <cellStyle name="Saída 5 2 4 2 5 2" xfId="14459"/>
    <cellStyle name="Saída 5 2 4 2 6" xfId="14460"/>
    <cellStyle name="Saída 5 2 4 2 6 2" xfId="14461"/>
    <cellStyle name="Saída 5 2 4 2 7" xfId="14462"/>
    <cellStyle name="Saída 5 2 4 2 7 2" xfId="14463"/>
    <cellStyle name="Saída 5 2 4 3" xfId="14464"/>
    <cellStyle name="Saída 5 2 4 3 2" xfId="14465"/>
    <cellStyle name="Saída 5 2 4 3 2 2" xfId="14466"/>
    <cellStyle name="Saída 5 2 4 3 3" xfId="14467"/>
    <cellStyle name="Saída 5 2 4 3 3 2" xfId="14468"/>
    <cellStyle name="Saída 5 2 4 3 4" xfId="14469"/>
    <cellStyle name="Saída 5 2 4 3 4 2" xfId="14470"/>
    <cellStyle name="Saída 5 2 4 3 5" xfId="14471"/>
    <cellStyle name="Saída 5 2 4 3 5 2" xfId="14472"/>
    <cellStyle name="Saída 5 2 4 4" xfId="14473"/>
    <cellStyle name="Saída 5 2 4 4 2" xfId="14474"/>
    <cellStyle name="Saída 5 2 4 4 2 2" xfId="14475"/>
    <cellStyle name="Saída 5 2 4 4 3" xfId="14476"/>
    <cellStyle name="Saída 5 2 4 4 3 2" xfId="14477"/>
    <cellStyle name="Saída 5 2 4 4 4" xfId="14478"/>
    <cellStyle name="Saída 5 2 4 4 4 2" xfId="14479"/>
    <cellStyle name="Saída 5 2 4 4 5" xfId="14480"/>
    <cellStyle name="Saída 5 2 4 4 5 2" xfId="14481"/>
    <cellStyle name="Saída 5 2 4 5" xfId="14482"/>
    <cellStyle name="Saída 5 2 4 5 2" xfId="14483"/>
    <cellStyle name="Saída 5 2 4 6" xfId="14484"/>
    <cellStyle name="Saída 5 2 4 6 2" xfId="14485"/>
    <cellStyle name="Saída 5 2 4 7" xfId="14486"/>
    <cellStyle name="Saída 5 2 4 7 2" xfId="14487"/>
    <cellStyle name="Saída 5 2 4 8" xfId="14488"/>
    <cellStyle name="Saída 5 2 4 8 2" xfId="14489"/>
    <cellStyle name="Saída 5 2 5" xfId="2533"/>
    <cellStyle name="Saída 5 2 5 2" xfId="2534"/>
    <cellStyle name="Saída 5 2 5 2 2" xfId="14490"/>
    <cellStyle name="Saída 5 2 5 2 2 2" xfId="14491"/>
    <cellStyle name="Saída 5 2 5 2 2 2 2" xfId="14492"/>
    <cellStyle name="Saída 5 2 5 2 2 3" xfId="14493"/>
    <cellStyle name="Saída 5 2 5 2 2 3 2" xfId="14494"/>
    <cellStyle name="Saída 5 2 5 2 2 4" xfId="14495"/>
    <cellStyle name="Saída 5 2 5 2 2 4 2" xfId="14496"/>
    <cellStyle name="Saída 5 2 5 2 2 5" xfId="14497"/>
    <cellStyle name="Saída 5 2 5 2 2 5 2" xfId="14498"/>
    <cellStyle name="Saída 5 2 5 2 3" xfId="14499"/>
    <cellStyle name="Saída 5 2 5 2 3 2" xfId="14500"/>
    <cellStyle name="Saída 5 2 5 2 3 2 2" xfId="14501"/>
    <cellStyle name="Saída 5 2 5 2 3 3" xfId="14502"/>
    <cellStyle name="Saída 5 2 5 2 3 3 2" xfId="14503"/>
    <cellStyle name="Saída 5 2 5 2 3 4" xfId="14504"/>
    <cellStyle name="Saída 5 2 5 2 3 4 2" xfId="14505"/>
    <cellStyle name="Saída 5 2 5 2 3 5" xfId="14506"/>
    <cellStyle name="Saída 5 2 5 2 3 5 2" xfId="14507"/>
    <cellStyle name="Saída 5 2 5 2 4" xfId="14508"/>
    <cellStyle name="Saída 5 2 5 2 4 2" xfId="14509"/>
    <cellStyle name="Saída 5 2 5 2 5" xfId="14510"/>
    <cellStyle name="Saída 5 2 5 2 5 2" xfId="14511"/>
    <cellStyle name="Saída 5 2 5 2 6" xfId="14512"/>
    <cellStyle name="Saída 5 2 5 2 6 2" xfId="14513"/>
    <cellStyle name="Saída 5 2 5 2 7" xfId="14514"/>
    <cellStyle name="Saída 5 2 5 2 7 2" xfId="14515"/>
    <cellStyle name="Saída 5 2 5 3" xfId="14516"/>
    <cellStyle name="Saída 5 2 5 3 2" xfId="14517"/>
    <cellStyle name="Saída 5 2 5 3 2 2" xfId="14518"/>
    <cellStyle name="Saída 5 2 5 3 3" xfId="14519"/>
    <cellStyle name="Saída 5 2 5 3 3 2" xfId="14520"/>
    <cellStyle name="Saída 5 2 5 3 4" xfId="14521"/>
    <cellStyle name="Saída 5 2 5 3 4 2" xfId="14522"/>
    <cellStyle name="Saída 5 2 5 3 5" xfId="14523"/>
    <cellStyle name="Saída 5 2 5 3 5 2" xfId="14524"/>
    <cellStyle name="Saída 5 2 5 4" xfId="14525"/>
    <cellStyle name="Saída 5 2 5 4 2" xfId="14526"/>
    <cellStyle name="Saída 5 2 5 4 2 2" xfId="14527"/>
    <cellStyle name="Saída 5 2 5 4 3" xfId="14528"/>
    <cellStyle name="Saída 5 2 5 4 3 2" xfId="14529"/>
    <cellStyle name="Saída 5 2 5 4 4" xfId="14530"/>
    <cellStyle name="Saída 5 2 5 4 4 2" xfId="14531"/>
    <cellStyle name="Saída 5 2 5 4 5" xfId="14532"/>
    <cellStyle name="Saída 5 2 5 4 5 2" xfId="14533"/>
    <cellStyle name="Saída 5 2 5 5" xfId="14534"/>
    <cellStyle name="Saída 5 2 5 5 2" xfId="14535"/>
    <cellStyle name="Saída 5 2 5 6" xfId="14536"/>
    <cellStyle name="Saída 5 2 5 6 2" xfId="14537"/>
    <cellStyle name="Saída 5 2 5 7" xfId="14538"/>
    <cellStyle name="Saída 5 2 5 7 2" xfId="14539"/>
    <cellStyle name="Saída 5 2 5 8" xfId="14540"/>
    <cellStyle name="Saída 5 2 5 8 2" xfId="14541"/>
    <cellStyle name="Saída 5 2 6" xfId="2535"/>
    <cellStyle name="Saída 5 2 6 2" xfId="14542"/>
    <cellStyle name="Saída 5 2 6 2 2" xfId="14543"/>
    <cellStyle name="Saída 5 2 6 2 2 2" xfId="14544"/>
    <cellStyle name="Saída 5 2 6 2 3" xfId="14545"/>
    <cellStyle name="Saída 5 2 6 2 3 2" xfId="14546"/>
    <cellStyle name="Saída 5 2 6 2 4" xfId="14547"/>
    <cellStyle name="Saída 5 2 6 2 4 2" xfId="14548"/>
    <cellStyle name="Saída 5 2 6 2 5" xfId="14549"/>
    <cellStyle name="Saída 5 2 6 2 5 2" xfId="14550"/>
    <cellStyle name="Saída 5 2 6 3" xfId="14551"/>
    <cellStyle name="Saída 5 2 6 3 2" xfId="14552"/>
    <cellStyle name="Saída 5 2 6 3 2 2" xfId="14553"/>
    <cellStyle name="Saída 5 2 6 3 3" xfId="14554"/>
    <cellStyle name="Saída 5 2 6 3 3 2" xfId="14555"/>
    <cellStyle name="Saída 5 2 6 3 4" xfId="14556"/>
    <cellStyle name="Saída 5 2 6 3 4 2" xfId="14557"/>
    <cellStyle name="Saída 5 2 6 3 5" xfId="14558"/>
    <cellStyle name="Saída 5 2 6 3 5 2" xfId="14559"/>
    <cellStyle name="Saída 5 2 6 4" xfId="14560"/>
    <cellStyle name="Saída 5 2 6 4 2" xfId="14561"/>
    <cellStyle name="Saída 5 2 6 5" xfId="14562"/>
    <cellStyle name="Saída 5 2 6 5 2" xfId="14563"/>
    <cellStyle name="Saída 5 2 6 6" xfId="14564"/>
    <cellStyle name="Saída 5 2 6 6 2" xfId="14565"/>
    <cellStyle name="Saída 5 2 6 7" xfId="14566"/>
    <cellStyle name="Saída 5 2 6 7 2" xfId="14567"/>
    <cellStyle name="Saída 5 2 7" xfId="14568"/>
    <cellStyle name="Saída 5 2 7 2" xfId="14569"/>
    <cellStyle name="Saída 5 2 7 2 2" xfId="14570"/>
    <cellStyle name="Saída 5 2 7 3" xfId="14571"/>
    <cellStyle name="Saída 5 2 7 3 2" xfId="14572"/>
    <cellStyle name="Saída 5 2 7 4" xfId="14573"/>
    <cellStyle name="Saída 5 2 7 4 2" xfId="14574"/>
    <cellStyle name="Saída 5 2 7 5" xfId="14575"/>
    <cellStyle name="Saída 5 2 7 5 2" xfId="14576"/>
    <cellStyle name="Saída 5 2 8" xfId="14577"/>
    <cellStyle name="Saída 5 2 8 2" xfId="14578"/>
    <cellStyle name="Saída 5 2 8 2 2" xfId="14579"/>
    <cellStyle name="Saída 5 2 8 3" xfId="14580"/>
    <cellStyle name="Saída 5 2 8 3 2" xfId="14581"/>
    <cellStyle name="Saída 5 2 8 4" xfId="14582"/>
    <cellStyle name="Saída 5 2 8 4 2" xfId="14583"/>
    <cellStyle name="Saída 5 2 8 5" xfId="14584"/>
    <cellStyle name="Saída 5 2 8 5 2" xfId="14585"/>
    <cellStyle name="Saída 5 2 9" xfId="14586"/>
    <cellStyle name="Saída 5 2 9 2" xfId="14587"/>
    <cellStyle name="Saída 5 3" xfId="2536"/>
    <cellStyle name="Saída 5 3 2" xfId="2537"/>
    <cellStyle name="Saída 5 3 2 2" xfId="14588"/>
    <cellStyle name="Saída 5 3 2 2 2" xfId="14589"/>
    <cellStyle name="Saída 5 3 2 2 2 2" xfId="14590"/>
    <cellStyle name="Saída 5 3 2 2 3" xfId="14591"/>
    <cellStyle name="Saída 5 3 2 2 3 2" xfId="14592"/>
    <cellStyle name="Saída 5 3 2 2 4" xfId="14593"/>
    <cellStyle name="Saída 5 3 2 2 4 2" xfId="14594"/>
    <cellStyle name="Saída 5 3 2 2 5" xfId="14595"/>
    <cellStyle name="Saída 5 3 2 2 5 2" xfId="14596"/>
    <cellStyle name="Saída 5 3 2 3" xfId="14597"/>
    <cellStyle name="Saída 5 3 2 3 2" xfId="14598"/>
    <cellStyle name="Saída 5 3 2 3 2 2" xfId="14599"/>
    <cellStyle name="Saída 5 3 2 3 3" xfId="14600"/>
    <cellStyle name="Saída 5 3 2 3 3 2" xfId="14601"/>
    <cellStyle name="Saída 5 3 2 3 4" xfId="14602"/>
    <cellStyle name="Saída 5 3 2 3 4 2" xfId="14603"/>
    <cellStyle name="Saída 5 3 2 3 5" xfId="14604"/>
    <cellStyle name="Saída 5 3 2 3 5 2" xfId="14605"/>
    <cellStyle name="Saída 5 3 2 4" xfId="14606"/>
    <cellStyle name="Saída 5 3 2 4 2" xfId="14607"/>
    <cellStyle name="Saída 5 3 2 5" xfId="14608"/>
    <cellStyle name="Saída 5 3 2 5 2" xfId="14609"/>
    <cellStyle name="Saída 5 3 2 6" xfId="14610"/>
    <cellStyle name="Saída 5 3 2 6 2" xfId="14611"/>
    <cellStyle name="Saída 5 3 2 7" xfId="14612"/>
    <cellStyle name="Saída 5 3 2 7 2" xfId="14613"/>
    <cellStyle name="Saída 5 3 3" xfId="14614"/>
    <cellStyle name="Saída 5 3 3 2" xfId="14615"/>
    <cellStyle name="Saída 5 3 3 2 2" xfId="14616"/>
    <cellStyle name="Saída 5 3 3 3" xfId="14617"/>
    <cellStyle name="Saída 5 3 3 3 2" xfId="14618"/>
    <cellStyle name="Saída 5 3 3 4" xfId="14619"/>
    <cellStyle name="Saída 5 3 3 4 2" xfId="14620"/>
    <cellStyle name="Saída 5 3 3 5" xfId="14621"/>
    <cellStyle name="Saída 5 3 3 5 2" xfId="14622"/>
    <cellStyle name="Saída 5 3 4" xfId="14623"/>
    <cellStyle name="Saída 5 3 4 2" xfId="14624"/>
    <cellStyle name="Saída 5 3 4 2 2" xfId="14625"/>
    <cellStyle name="Saída 5 3 4 3" xfId="14626"/>
    <cellStyle name="Saída 5 3 4 3 2" xfId="14627"/>
    <cellStyle name="Saída 5 3 4 4" xfId="14628"/>
    <cellStyle name="Saída 5 3 4 4 2" xfId="14629"/>
    <cellStyle name="Saída 5 3 4 5" xfId="14630"/>
    <cellStyle name="Saída 5 3 4 5 2" xfId="14631"/>
    <cellStyle name="Saída 5 3 5" xfId="14632"/>
    <cellStyle name="Saída 5 3 5 2" xfId="14633"/>
    <cellStyle name="Saída 5 3 6" xfId="14634"/>
    <cellStyle name="Saída 5 3 6 2" xfId="14635"/>
    <cellStyle name="Saída 5 3 7" xfId="14636"/>
    <cellStyle name="Saída 5 3 7 2" xfId="14637"/>
    <cellStyle name="Saída 5 3 8" xfId="14638"/>
    <cellStyle name="Saída 5 3 8 2" xfId="14639"/>
    <cellStyle name="Saída 5 4" xfId="2538"/>
    <cellStyle name="Saída 5 4 2" xfId="2539"/>
    <cellStyle name="Saída 5 4 2 2" xfId="14640"/>
    <cellStyle name="Saída 5 4 2 2 2" xfId="14641"/>
    <cellStyle name="Saída 5 4 2 2 2 2" xfId="14642"/>
    <cellStyle name="Saída 5 4 2 2 3" xfId="14643"/>
    <cellStyle name="Saída 5 4 2 2 3 2" xfId="14644"/>
    <cellStyle name="Saída 5 4 2 2 4" xfId="14645"/>
    <cellStyle name="Saída 5 4 2 2 4 2" xfId="14646"/>
    <cellStyle name="Saída 5 4 2 2 5" xfId="14647"/>
    <cellStyle name="Saída 5 4 2 2 5 2" xfId="14648"/>
    <cellStyle name="Saída 5 4 2 3" xfId="14649"/>
    <cellStyle name="Saída 5 4 2 3 2" xfId="14650"/>
    <cellStyle name="Saída 5 4 2 3 2 2" xfId="14651"/>
    <cellStyle name="Saída 5 4 2 3 3" xfId="14652"/>
    <cellStyle name="Saída 5 4 2 3 3 2" xfId="14653"/>
    <cellStyle name="Saída 5 4 2 3 4" xfId="14654"/>
    <cellStyle name="Saída 5 4 2 3 4 2" xfId="14655"/>
    <cellStyle name="Saída 5 4 2 3 5" xfId="14656"/>
    <cellStyle name="Saída 5 4 2 3 5 2" xfId="14657"/>
    <cellStyle name="Saída 5 4 2 4" xfId="14658"/>
    <cellStyle name="Saída 5 4 2 4 2" xfId="14659"/>
    <cellStyle name="Saída 5 4 2 5" xfId="14660"/>
    <cellStyle name="Saída 5 4 2 5 2" xfId="14661"/>
    <cellStyle name="Saída 5 4 2 6" xfId="14662"/>
    <cellStyle name="Saída 5 4 2 6 2" xfId="14663"/>
    <cellStyle name="Saída 5 4 2 7" xfId="14664"/>
    <cellStyle name="Saída 5 4 2 7 2" xfId="14665"/>
    <cellStyle name="Saída 5 4 3" xfId="14666"/>
    <cellStyle name="Saída 5 4 3 2" xfId="14667"/>
    <cellStyle name="Saída 5 4 3 2 2" xfId="14668"/>
    <cellStyle name="Saída 5 4 3 3" xfId="14669"/>
    <cellStyle name="Saída 5 4 3 3 2" xfId="14670"/>
    <cellStyle name="Saída 5 4 3 4" xfId="14671"/>
    <cellStyle name="Saída 5 4 3 4 2" xfId="14672"/>
    <cellStyle name="Saída 5 4 3 5" xfId="14673"/>
    <cellStyle name="Saída 5 4 3 5 2" xfId="14674"/>
    <cellStyle name="Saída 5 4 4" xfId="14675"/>
    <cellStyle name="Saída 5 4 4 2" xfId="14676"/>
    <cellStyle name="Saída 5 4 4 2 2" xfId="14677"/>
    <cellStyle name="Saída 5 4 4 3" xfId="14678"/>
    <cellStyle name="Saída 5 4 4 3 2" xfId="14679"/>
    <cellStyle name="Saída 5 4 4 4" xfId="14680"/>
    <cellStyle name="Saída 5 4 4 4 2" xfId="14681"/>
    <cellStyle name="Saída 5 4 4 5" xfId="14682"/>
    <cellStyle name="Saída 5 4 4 5 2" xfId="14683"/>
    <cellStyle name="Saída 5 4 5" xfId="14684"/>
    <cellStyle name="Saída 5 4 5 2" xfId="14685"/>
    <cellStyle name="Saída 5 4 6" xfId="14686"/>
    <cellStyle name="Saída 5 4 6 2" xfId="14687"/>
    <cellStyle name="Saída 5 4 7" xfId="14688"/>
    <cellStyle name="Saída 5 4 7 2" xfId="14689"/>
    <cellStyle name="Saída 5 4 8" xfId="14690"/>
    <cellStyle name="Saída 5 4 8 2" xfId="14691"/>
    <cellStyle name="Saída 5 5" xfId="2540"/>
    <cellStyle name="Saída 5 5 2" xfId="2541"/>
    <cellStyle name="Saída 5 5 2 2" xfId="14692"/>
    <cellStyle name="Saída 5 5 2 2 2" xfId="14693"/>
    <cellStyle name="Saída 5 5 2 2 2 2" xfId="14694"/>
    <cellStyle name="Saída 5 5 2 2 3" xfId="14695"/>
    <cellStyle name="Saída 5 5 2 2 3 2" xfId="14696"/>
    <cellStyle name="Saída 5 5 2 2 4" xfId="14697"/>
    <cellStyle name="Saída 5 5 2 2 4 2" xfId="14698"/>
    <cellStyle name="Saída 5 5 2 2 5" xfId="14699"/>
    <cellStyle name="Saída 5 5 2 2 5 2" xfId="14700"/>
    <cellStyle name="Saída 5 5 2 3" xfId="14701"/>
    <cellStyle name="Saída 5 5 2 3 2" xfId="14702"/>
    <cellStyle name="Saída 5 5 2 3 2 2" xfId="14703"/>
    <cellStyle name="Saída 5 5 2 3 3" xfId="14704"/>
    <cellStyle name="Saída 5 5 2 3 3 2" xfId="14705"/>
    <cellStyle name="Saída 5 5 2 3 4" xfId="14706"/>
    <cellStyle name="Saída 5 5 2 3 4 2" xfId="14707"/>
    <cellStyle name="Saída 5 5 2 3 5" xfId="14708"/>
    <cellStyle name="Saída 5 5 2 3 5 2" xfId="14709"/>
    <cellStyle name="Saída 5 5 2 4" xfId="14710"/>
    <cellStyle name="Saída 5 5 2 4 2" xfId="14711"/>
    <cellStyle name="Saída 5 5 2 5" xfId="14712"/>
    <cellStyle name="Saída 5 5 2 5 2" xfId="14713"/>
    <cellStyle name="Saída 5 5 2 6" xfId="14714"/>
    <cellStyle name="Saída 5 5 2 6 2" xfId="14715"/>
    <cellStyle name="Saída 5 5 2 7" xfId="14716"/>
    <cellStyle name="Saída 5 5 2 7 2" xfId="14717"/>
    <cellStyle name="Saída 5 5 3" xfId="14718"/>
    <cellStyle name="Saída 5 5 3 2" xfId="14719"/>
    <cellStyle name="Saída 5 5 3 2 2" xfId="14720"/>
    <cellStyle name="Saída 5 5 3 3" xfId="14721"/>
    <cellStyle name="Saída 5 5 3 3 2" xfId="14722"/>
    <cellStyle name="Saída 5 5 3 4" xfId="14723"/>
    <cellStyle name="Saída 5 5 3 4 2" xfId="14724"/>
    <cellStyle name="Saída 5 5 3 5" xfId="14725"/>
    <cellStyle name="Saída 5 5 3 5 2" xfId="14726"/>
    <cellStyle name="Saída 5 5 4" xfId="14727"/>
    <cellStyle name="Saída 5 5 4 2" xfId="14728"/>
    <cellStyle name="Saída 5 5 4 2 2" xfId="14729"/>
    <cellStyle name="Saída 5 5 4 3" xfId="14730"/>
    <cellStyle name="Saída 5 5 4 3 2" xfId="14731"/>
    <cellStyle name="Saída 5 5 4 4" xfId="14732"/>
    <cellStyle name="Saída 5 5 4 4 2" xfId="14733"/>
    <cellStyle name="Saída 5 5 4 5" xfId="14734"/>
    <cellStyle name="Saída 5 5 4 5 2" xfId="14735"/>
    <cellStyle name="Saída 5 5 5" xfId="14736"/>
    <cellStyle name="Saída 5 5 5 2" xfId="14737"/>
    <cellStyle name="Saída 5 5 6" xfId="14738"/>
    <cellStyle name="Saída 5 5 6 2" xfId="14739"/>
    <cellStyle name="Saída 5 5 7" xfId="14740"/>
    <cellStyle name="Saída 5 5 7 2" xfId="14741"/>
    <cellStyle name="Saída 5 5 8" xfId="14742"/>
    <cellStyle name="Saída 5 5 8 2" xfId="14743"/>
    <cellStyle name="Saída 5 6" xfId="2542"/>
    <cellStyle name="Saída 5 6 2" xfId="2543"/>
    <cellStyle name="Saída 5 6 2 2" xfId="14744"/>
    <cellStyle name="Saída 5 6 2 2 2" xfId="14745"/>
    <cellStyle name="Saída 5 6 2 2 2 2" xfId="14746"/>
    <cellStyle name="Saída 5 6 2 2 3" xfId="14747"/>
    <cellStyle name="Saída 5 6 2 2 3 2" xfId="14748"/>
    <cellStyle name="Saída 5 6 2 2 4" xfId="14749"/>
    <cellStyle name="Saída 5 6 2 2 4 2" xfId="14750"/>
    <cellStyle name="Saída 5 6 2 2 5" xfId="14751"/>
    <cellStyle name="Saída 5 6 2 2 5 2" xfId="14752"/>
    <cellStyle name="Saída 5 6 2 3" xfId="14753"/>
    <cellStyle name="Saída 5 6 2 3 2" xfId="14754"/>
    <cellStyle name="Saída 5 6 2 3 2 2" xfId="14755"/>
    <cellStyle name="Saída 5 6 2 3 3" xfId="14756"/>
    <cellStyle name="Saída 5 6 2 3 3 2" xfId="14757"/>
    <cellStyle name="Saída 5 6 2 3 4" xfId="14758"/>
    <cellStyle name="Saída 5 6 2 3 4 2" xfId="14759"/>
    <cellStyle name="Saída 5 6 2 3 5" xfId="14760"/>
    <cellStyle name="Saída 5 6 2 3 5 2" xfId="14761"/>
    <cellStyle name="Saída 5 6 2 4" xfId="14762"/>
    <cellStyle name="Saída 5 6 2 4 2" xfId="14763"/>
    <cellStyle name="Saída 5 6 2 5" xfId="14764"/>
    <cellStyle name="Saída 5 6 2 5 2" xfId="14765"/>
    <cellStyle name="Saída 5 6 2 6" xfId="14766"/>
    <cellStyle name="Saída 5 6 2 6 2" xfId="14767"/>
    <cellStyle name="Saída 5 6 2 7" xfId="14768"/>
    <cellStyle name="Saída 5 6 2 7 2" xfId="14769"/>
    <cellStyle name="Saída 5 6 3" xfId="14770"/>
    <cellStyle name="Saída 5 6 3 2" xfId="14771"/>
    <cellStyle name="Saída 5 6 3 2 2" xfId="14772"/>
    <cellStyle name="Saída 5 6 3 3" xfId="14773"/>
    <cellStyle name="Saída 5 6 3 3 2" xfId="14774"/>
    <cellStyle name="Saída 5 6 3 4" xfId="14775"/>
    <cellStyle name="Saída 5 6 3 4 2" xfId="14776"/>
    <cellStyle name="Saída 5 6 3 5" xfId="14777"/>
    <cellStyle name="Saída 5 6 3 5 2" xfId="14778"/>
    <cellStyle name="Saída 5 6 4" xfId="14779"/>
    <cellStyle name="Saída 5 6 4 2" xfId="14780"/>
    <cellStyle name="Saída 5 6 4 2 2" xfId="14781"/>
    <cellStyle name="Saída 5 6 4 3" xfId="14782"/>
    <cellStyle name="Saída 5 6 4 3 2" xfId="14783"/>
    <cellStyle name="Saída 5 6 4 4" xfId="14784"/>
    <cellStyle name="Saída 5 6 4 4 2" xfId="14785"/>
    <cellStyle name="Saída 5 6 4 5" xfId="14786"/>
    <cellStyle name="Saída 5 6 4 5 2" xfId="14787"/>
    <cellStyle name="Saída 5 6 5" xfId="14788"/>
    <cellStyle name="Saída 5 6 5 2" xfId="14789"/>
    <cellStyle name="Saída 5 6 6" xfId="14790"/>
    <cellStyle name="Saída 5 6 6 2" xfId="14791"/>
    <cellStyle name="Saída 5 6 7" xfId="14792"/>
    <cellStyle name="Saída 5 6 7 2" xfId="14793"/>
    <cellStyle name="Saída 5 6 8" xfId="14794"/>
    <cellStyle name="Saída 5 6 8 2" xfId="14795"/>
    <cellStyle name="Saída 5 7" xfId="2544"/>
    <cellStyle name="Saída 5 7 2" xfId="14796"/>
    <cellStyle name="Saída 5 7 2 2" xfId="14797"/>
    <cellStyle name="Saída 5 7 2 2 2" xfId="14798"/>
    <cellStyle name="Saída 5 7 2 3" xfId="14799"/>
    <cellStyle name="Saída 5 7 2 3 2" xfId="14800"/>
    <cellStyle name="Saída 5 7 2 4" xfId="14801"/>
    <cellStyle name="Saída 5 7 2 4 2" xfId="14802"/>
    <cellStyle name="Saída 5 7 2 5" xfId="14803"/>
    <cellStyle name="Saída 5 7 2 5 2" xfId="14804"/>
    <cellStyle name="Saída 5 7 3" xfId="14805"/>
    <cellStyle name="Saída 5 7 3 2" xfId="14806"/>
    <cellStyle name="Saída 5 7 3 2 2" xfId="14807"/>
    <cellStyle name="Saída 5 7 3 3" xfId="14808"/>
    <cellStyle name="Saída 5 7 3 3 2" xfId="14809"/>
    <cellStyle name="Saída 5 7 3 4" xfId="14810"/>
    <cellStyle name="Saída 5 7 3 4 2" xfId="14811"/>
    <cellStyle name="Saída 5 7 3 5" xfId="14812"/>
    <cellStyle name="Saída 5 7 3 5 2" xfId="14813"/>
    <cellStyle name="Saída 5 7 4" xfId="14814"/>
    <cellStyle name="Saída 5 7 4 2" xfId="14815"/>
    <cellStyle name="Saída 5 7 5" xfId="14816"/>
    <cellStyle name="Saída 5 7 5 2" xfId="14817"/>
    <cellStyle name="Saída 5 7 6" xfId="14818"/>
    <cellStyle name="Saída 5 7 6 2" xfId="14819"/>
    <cellStyle name="Saída 5 7 7" xfId="14820"/>
    <cellStyle name="Saída 5 7 7 2" xfId="14821"/>
    <cellStyle name="Saída 5 8" xfId="14822"/>
    <cellStyle name="Saída 5 8 2" xfId="14823"/>
    <cellStyle name="Saída 5 8 2 2" xfId="14824"/>
    <cellStyle name="Saída 5 8 3" xfId="14825"/>
    <cellStyle name="Saída 5 8 3 2" xfId="14826"/>
    <cellStyle name="Saída 5 8 4" xfId="14827"/>
    <cellStyle name="Saída 5 8 4 2" xfId="14828"/>
    <cellStyle name="Saída 5 8 5" xfId="14829"/>
    <cellStyle name="Saída 5 8 5 2" xfId="14830"/>
    <cellStyle name="Saída 5 9" xfId="14831"/>
    <cellStyle name="Saída 5 9 2" xfId="14832"/>
    <cellStyle name="Saída 5 9 2 2" xfId="14833"/>
    <cellStyle name="Saída 5 9 3" xfId="14834"/>
    <cellStyle name="Saída 5 9 3 2" xfId="14835"/>
    <cellStyle name="Saída 5 9 4" xfId="14836"/>
    <cellStyle name="Saída 5 9 4 2" xfId="14837"/>
    <cellStyle name="Saída 5 9 5" xfId="14838"/>
    <cellStyle name="Saída 5 9 5 2" xfId="14839"/>
    <cellStyle name="Saída 6" xfId="1700"/>
    <cellStyle name="Saída 6 2" xfId="14840"/>
    <cellStyle name="Saída 6 2 2" xfId="14841"/>
    <cellStyle name="Saída 6 2 2 2" xfId="14842"/>
    <cellStyle name="Saída 6 2 3" xfId="14843"/>
    <cellStyle name="Saída 6 2 3 2" xfId="14844"/>
    <cellStyle name="Saída 6 2 4" xfId="14845"/>
    <cellStyle name="Saída 6 2 4 2" xfId="14846"/>
    <cellStyle name="Saída 6 2 5" xfId="14847"/>
    <cellStyle name="Saída 6 2 5 2" xfId="14848"/>
    <cellStyle name="Saída 6 3" xfId="14849"/>
    <cellStyle name="Saída 6 3 2" xfId="14850"/>
    <cellStyle name="Saída 6 3 2 2" xfId="14851"/>
    <cellStyle name="Saída 6 3 3" xfId="14852"/>
    <cellStyle name="Saída 6 3 3 2" xfId="14853"/>
    <cellStyle name="Saída 6 3 4" xfId="14854"/>
    <cellStyle name="Saída 6 3 4 2" xfId="14855"/>
    <cellStyle name="Saída 6 3 5" xfId="14856"/>
    <cellStyle name="Saída 6 3 5 2" xfId="14857"/>
    <cellStyle name="Saída 6 4" xfId="14858"/>
    <cellStyle name="Saída 6 4 2" xfId="14859"/>
    <cellStyle name="Saída 6 5" xfId="14860"/>
    <cellStyle name="Saída 6 5 2" xfId="14861"/>
    <cellStyle name="Saída 6 6" xfId="14862"/>
    <cellStyle name="Saída 6 6 2" xfId="14863"/>
    <cellStyle name="Saída 6 7" xfId="14864"/>
    <cellStyle name="Saída 6 7 2" xfId="14865"/>
    <cellStyle name="Saída 7" xfId="1701"/>
    <cellStyle name="Saída 7 2" xfId="14866"/>
    <cellStyle name="Saída 7 2 2" xfId="14867"/>
    <cellStyle name="Saída 7 2 2 2" xfId="14868"/>
    <cellStyle name="Saída 7 2 3" xfId="14869"/>
    <cellStyle name="Saída 7 2 3 2" xfId="14870"/>
    <cellStyle name="Saída 7 2 4" xfId="14871"/>
    <cellStyle name="Saída 7 2 4 2" xfId="14872"/>
    <cellStyle name="Saída 7 2 5" xfId="14873"/>
    <cellStyle name="Saída 7 2 5 2" xfId="14874"/>
    <cellStyle name="Saída 7 3" xfId="14875"/>
    <cellStyle name="Saída 7 3 2" xfId="14876"/>
    <cellStyle name="Saída 7 3 2 2" xfId="14877"/>
    <cellStyle name="Saída 7 3 3" xfId="14878"/>
    <cellStyle name="Saída 7 3 3 2" xfId="14879"/>
    <cellStyle name="Saída 7 3 4" xfId="14880"/>
    <cellStyle name="Saída 7 3 4 2" xfId="14881"/>
    <cellStyle name="Saída 7 3 5" xfId="14882"/>
    <cellStyle name="Saída 7 3 5 2" xfId="14883"/>
    <cellStyle name="Saída 7 4" xfId="14884"/>
    <cellStyle name="Saída 7 4 2" xfId="14885"/>
    <cellStyle name="Saída 7 5" xfId="14886"/>
    <cellStyle name="Saída 7 5 2" xfId="14887"/>
    <cellStyle name="Saída 7 6" xfId="14888"/>
    <cellStyle name="Saída 7 6 2" xfId="14889"/>
    <cellStyle name="Saída 7 7" xfId="14890"/>
    <cellStyle name="Saída 7 7 2" xfId="14891"/>
    <cellStyle name="Saída 8" xfId="1702"/>
    <cellStyle name="Saída 8 2" xfId="14892"/>
    <cellStyle name="Saída 8 2 2" xfId="14893"/>
    <cellStyle name="Saída 8 2 2 2" xfId="14894"/>
    <cellStyle name="Saída 8 2 3" xfId="14895"/>
    <cellStyle name="Saída 8 2 3 2" xfId="14896"/>
    <cellStyle name="Saída 8 2 4" xfId="14897"/>
    <cellStyle name="Saída 8 2 4 2" xfId="14898"/>
    <cellStyle name="Saída 8 2 5" xfId="14899"/>
    <cellStyle name="Saída 8 2 5 2" xfId="14900"/>
    <cellStyle name="Saída 8 3" xfId="14901"/>
    <cellStyle name="Saída 8 3 2" xfId="14902"/>
    <cellStyle name="Saída 8 3 2 2" xfId="14903"/>
    <cellStyle name="Saída 8 3 3" xfId="14904"/>
    <cellStyle name="Saída 8 3 3 2" xfId="14905"/>
    <cellStyle name="Saída 8 3 4" xfId="14906"/>
    <cellStyle name="Saída 8 3 4 2" xfId="14907"/>
    <cellStyle name="Saída 8 3 5" xfId="14908"/>
    <cellStyle name="Saída 8 3 5 2" xfId="14909"/>
    <cellStyle name="Saída 8 4" xfId="14910"/>
    <cellStyle name="Saída 8 4 2" xfId="14911"/>
    <cellStyle name="Saída 8 5" xfId="14912"/>
    <cellStyle name="Saída 8 5 2" xfId="14913"/>
    <cellStyle name="Saída 8 6" xfId="14914"/>
    <cellStyle name="Saída 8 6 2" xfId="14915"/>
    <cellStyle name="Saída 8 7" xfId="14916"/>
    <cellStyle name="Saída 8 7 2" xfId="14917"/>
    <cellStyle name="Saída 9" xfId="1703"/>
    <cellStyle name="Saída 9 2" xfId="14918"/>
    <cellStyle name="Saída 9 2 2" xfId="14919"/>
    <cellStyle name="Saída 9 2 2 2" xfId="14920"/>
    <cellStyle name="Saída 9 2 3" xfId="14921"/>
    <cellStyle name="Saída 9 2 3 2" xfId="14922"/>
    <cellStyle name="Saída 9 2 4" xfId="14923"/>
    <cellStyle name="Saída 9 2 4 2" xfId="14924"/>
    <cellStyle name="Saída 9 2 5" xfId="14925"/>
    <cellStyle name="Saída 9 2 5 2" xfId="14926"/>
    <cellStyle name="Saída 9 3" xfId="14927"/>
    <cellStyle name="Saída 9 3 2" xfId="14928"/>
    <cellStyle name="Saída 9 3 2 2" xfId="14929"/>
    <cellStyle name="Saída 9 3 3" xfId="14930"/>
    <cellStyle name="Saída 9 3 3 2" xfId="14931"/>
    <cellStyle name="Saída 9 3 4" xfId="14932"/>
    <cellStyle name="Saída 9 3 4 2" xfId="14933"/>
    <cellStyle name="Saída 9 3 5" xfId="14934"/>
    <cellStyle name="Saída 9 3 5 2" xfId="14935"/>
    <cellStyle name="Saída 9 4" xfId="14936"/>
    <cellStyle name="Saída 9 4 2" xfId="14937"/>
    <cellStyle name="Saída 9 5" xfId="14938"/>
    <cellStyle name="Saída 9 5 2" xfId="14939"/>
    <cellStyle name="Saída 9 6" xfId="14940"/>
    <cellStyle name="Saída 9 6 2" xfId="14941"/>
    <cellStyle name="Saída 9 7" xfId="14942"/>
    <cellStyle name="Saída 9 7 2" xfId="14943"/>
    <cellStyle name="SAPBEXaggData" xfId="2545"/>
    <cellStyle name="SAPBEXaggData 10" xfId="14944"/>
    <cellStyle name="SAPBEXaggData 10 2" xfId="14945"/>
    <cellStyle name="SAPBEXaggData 11" xfId="14946"/>
    <cellStyle name="SAPBEXaggData 11 2" xfId="14947"/>
    <cellStyle name="SAPBEXaggData 2" xfId="2546"/>
    <cellStyle name="SAPBEXaggData 2 2" xfId="2547"/>
    <cellStyle name="SAPBEXaggData 2 2 2" xfId="14948"/>
    <cellStyle name="SAPBEXaggData 2 2 2 2" xfId="14949"/>
    <cellStyle name="SAPBEXaggData 2 2 2 2 2" xfId="14950"/>
    <cellStyle name="SAPBEXaggData 2 2 2 3" xfId="14951"/>
    <cellStyle name="SAPBEXaggData 2 2 2 3 2" xfId="14952"/>
    <cellStyle name="SAPBEXaggData 2 2 2 4" xfId="14953"/>
    <cellStyle name="SAPBEXaggData 2 2 2 4 2" xfId="14954"/>
    <cellStyle name="SAPBEXaggData 2 2 2 5" xfId="14955"/>
    <cellStyle name="SAPBEXaggData 2 2 2 5 2" xfId="14956"/>
    <cellStyle name="SAPBEXaggData 2 2 3" xfId="14957"/>
    <cellStyle name="SAPBEXaggData 2 2 3 2" xfId="14958"/>
    <cellStyle name="SAPBEXaggData 2 2 3 2 2" xfId="14959"/>
    <cellStyle name="SAPBEXaggData 2 2 3 3" xfId="14960"/>
    <cellStyle name="SAPBEXaggData 2 2 3 3 2" xfId="14961"/>
    <cellStyle name="SAPBEXaggData 2 2 3 4" xfId="14962"/>
    <cellStyle name="SAPBEXaggData 2 2 3 4 2" xfId="14963"/>
    <cellStyle name="SAPBEXaggData 2 2 3 5" xfId="14964"/>
    <cellStyle name="SAPBEXaggData 2 2 3 5 2" xfId="14965"/>
    <cellStyle name="SAPBEXaggData 2 2 4" xfId="14966"/>
    <cellStyle name="SAPBEXaggData 2 2 4 2" xfId="14967"/>
    <cellStyle name="SAPBEXaggData 2 2 5" xfId="14968"/>
    <cellStyle name="SAPBEXaggData 2 2 5 2" xfId="14969"/>
    <cellStyle name="SAPBEXaggData 2 2 6" xfId="14970"/>
    <cellStyle name="SAPBEXaggData 2 2 6 2" xfId="14971"/>
    <cellStyle name="SAPBEXaggData 2 2 7" xfId="14972"/>
    <cellStyle name="SAPBEXaggData 2 2 7 2" xfId="14973"/>
    <cellStyle name="SAPBEXaggData 2 3" xfId="14974"/>
    <cellStyle name="SAPBEXaggData 2 3 2" xfId="14975"/>
    <cellStyle name="SAPBEXaggData 2 3 2 2" xfId="14976"/>
    <cellStyle name="SAPBEXaggData 2 3 3" xfId="14977"/>
    <cellStyle name="SAPBEXaggData 2 3 3 2" xfId="14978"/>
    <cellStyle name="SAPBEXaggData 2 3 4" xfId="14979"/>
    <cellStyle name="SAPBEXaggData 2 3 4 2" xfId="14980"/>
    <cellStyle name="SAPBEXaggData 2 3 5" xfId="14981"/>
    <cellStyle name="SAPBEXaggData 2 3 5 2" xfId="14982"/>
    <cellStyle name="SAPBEXaggData 2 4" xfId="14983"/>
    <cellStyle name="SAPBEXaggData 2 4 2" xfId="14984"/>
    <cellStyle name="SAPBEXaggData 2 4 2 2" xfId="14985"/>
    <cellStyle name="SAPBEXaggData 2 4 3" xfId="14986"/>
    <cellStyle name="SAPBEXaggData 2 4 3 2" xfId="14987"/>
    <cellStyle name="SAPBEXaggData 2 4 4" xfId="14988"/>
    <cellStyle name="SAPBEXaggData 2 4 4 2" xfId="14989"/>
    <cellStyle name="SAPBEXaggData 2 4 5" xfId="14990"/>
    <cellStyle name="SAPBEXaggData 2 4 5 2" xfId="14991"/>
    <cellStyle name="SAPBEXaggData 2 5" xfId="14992"/>
    <cellStyle name="SAPBEXaggData 2 5 2" xfId="14993"/>
    <cellStyle name="SAPBEXaggData 2 6" xfId="14994"/>
    <cellStyle name="SAPBEXaggData 2 6 2" xfId="14995"/>
    <cellStyle name="SAPBEXaggData 2 7" xfId="14996"/>
    <cellStyle name="SAPBEXaggData 2 7 2" xfId="14997"/>
    <cellStyle name="SAPBEXaggData 2 8" xfId="14998"/>
    <cellStyle name="SAPBEXaggData 2 8 2" xfId="14999"/>
    <cellStyle name="SAPBEXaggData 3" xfId="2548"/>
    <cellStyle name="SAPBEXaggData 3 2" xfId="2549"/>
    <cellStyle name="SAPBEXaggData 3 2 2" xfId="15000"/>
    <cellStyle name="SAPBEXaggData 3 2 2 2" xfId="15001"/>
    <cellStyle name="SAPBEXaggData 3 2 2 2 2" xfId="15002"/>
    <cellStyle name="SAPBEXaggData 3 2 2 3" xfId="15003"/>
    <cellStyle name="SAPBEXaggData 3 2 2 3 2" xfId="15004"/>
    <cellStyle name="SAPBEXaggData 3 2 2 4" xfId="15005"/>
    <cellStyle name="SAPBEXaggData 3 2 2 4 2" xfId="15006"/>
    <cellStyle name="SAPBEXaggData 3 2 2 5" xfId="15007"/>
    <cellStyle name="SAPBEXaggData 3 2 2 5 2" xfId="15008"/>
    <cellStyle name="SAPBEXaggData 3 2 3" xfId="15009"/>
    <cellStyle name="SAPBEXaggData 3 2 3 2" xfId="15010"/>
    <cellStyle name="SAPBEXaggData 3 2 3 2 2" xfId="15011"/>
    <cellStyle name="SAPBEXaggData 3 2 3 3" xfId="15012"/>
    <cellStyle name="SAPBEXaggData 3 2 3 3 2" xfId="15013"/>
    <cellStyle name="SAPBEXaggData 3 2 3 4" xfId="15014"/>
    <cellStyle name="SAPBEXaggData 3 2 3 4 2" xfId="15015"/>
    <cellStyle name="SAPBEXaggData 3 2 3 5" xfId="15016"/>
    <cellStyle name="SAPBEXaggData 3 2 3 5 2" xfId="15017"/>
    <cellStyle name="SAPBEXaggData 3 2 4" xfId="15018"/>
    <cellStyle name="SAPBEXaggData 3 2 4 2" xfId="15019"/>
    <cellStyle name="SAPBEXaggData 3 2 5" xfId="15020"/>
    <cellStyle name="SAPBEXaggData 3 2 5 2" xfId="15021"/>
    <cellStyle name="SAPBEXaggData 3 2 6" xfId="15022"/>
    <cellStyle name="SAPBEXaggData 3 2 6 2" xfId="15023"/>
    <cellStyle name="SAPBEXaggData 3 2 7" xfId="15024"/>
    <cellStyle name="SAPBEXaggData 3 2 7 2" xfId="15025"/>
    <cellStyle name="SAPBEXaggData 3 3" xfId="15026"/>
    <cellStyle name="SAPBEXaggData 3 3 2" xfId="15027"/>
    <cellStyle name="SAPBEXaggData 3 3 2 2" xfId="15028"/>
    <cellStyle name="SAPBEXaggData 3 3 3" xfId="15029"/>
    <cellStyle name="SAPBEXaggData 3 3 3 2" xfId="15030"/>
    <cellStyle name="SAPBEXaggData 3 3 4" xfId="15031"/>
    <cellStyle name="SAPBEXaggData 3 3 4 2" xfId="15032"/>
    <cellStyle name="SAPBEXaggData 3 3 5" xfId="15033"/>
    <cellStyle name="SAPBEXaggData 3 3 5 2" xfId="15034"/>
    <cellStyle name="SAPBEXaggData 3 4" xfId="15035"/>
    <cellStyle name="SAPBEXaggData 3 4 2" xfId="15036"/>
    <cellStyle name="SAPBEXaggData 3 4 2 2" xfId="15037"/>
    <cellStyle name="SAPBEXaggData 3 4 3" xfId="15038"/>
    <cellStyle name="SAPBEXaggData 3 4 3 2" xfId="15039"/>
    <cellStyle name="SAPBEXaggData 3 4 4" xfId="15040"/>
    <cellStyle name="SAPBEXaggData 3 4 4 2" xfId="15041"/>
    <cellStyle name="SAPBEXaggData 3 4 5" xfId="15042"/>
    <cellStyle name="SAPBEXaggData 3 4 5 2" xfId="15043"/>
    <cellStyle name="SAPBEXaggData 3 5" xfId="15044"/>
    <cellStyle name="SAPBEXaggData 3 5 2" xfId="15045"/>
    <cellStyle name="SAPBEXaggData 3 6" xfId="15046"/>
    <cellStyle name="SAPBEXaggData 3 6 2" xfId="15047"/>
    <cellStyle name="SAPBEXaggData 3 7" xfId="15048"/>
    <cellStyle name="SAPBEXaggData 3 7 2" xfId="15049"/>
    <cellStyle name="SAPBEXaggData 3 8" xfId="15050"/>
    <cellStyle name="SAPBEXaggData 3 8 2" xfId="15051"/>
    <cellStyle name="SAPBEXaggData 4" xfId="2550"/>
    <cellStyle name="SAPBEXaggData 4 2" xfId="2551"/>
    <cellStyle name="SAPBEXaggData 4 2 2" xfId="15052"/>
    <cellStyle name="SAPBEXaggData 4 2 2 2" xfId="15053"/>
    <cellStyle name="SAPBEXaggData 4 2 2 2 2" xfId="15054"/>
    <cellStyle name="SAPBEXaggData 4 2 2 3" xfId="15055"/>
    <cellStyle name="SAPBEXaggData 4 2 2 3 2" xfId="15056"/>
    <cellStyle name="SAPBEXaggData 4 2 2 4" xfId="15057"/>
    <cellStyle name="SAPBEXaggData 4 2 2 4 2" xfId="15058"/>
    <cellStyle name="SAPBEXaggData 4 2 2 5" xfId="15059"/>
    <cellStyle name="SAPBEXaggData 4 2 2 5 2" xfId="15060"/>
    <cellStyle name="SAPBEXaggData 4 2 3" xfId="15061"/>
    <cellStyle name="SAPBEXaggData 4 2 3 2" xfId="15062"/>
    <cellStyle name="SAPBEXaggData 4 2 3 2 2" xfId="15063"/>
    <cellStyle name="SAPBEXaggData 4 2 3 3" xfId="15064"/>
    <cellStyle name="SAPBEXaggData 4 2 3 3 2" xfId="15065"/>
    <cellStyle name="SAPBEXaggData 4 2 3 4" xfId="15066"/>
    <cellStyle name="SAPBEXaggData 4 2 3 4 2" xfId="15067"/>
    <cellStyle name="SAPBEXaggData 4 2 3 5" xfId="15068"/>
    <cellStyle name="SAPBEXaggData 4 2 3 5 2" xfId="15069"/>
    <cellStyle name="SAPBEXaggData 4 2 4" xfId="15070"/>
    <cellStyle name="SAPBEXaggData 4 2 4 2" xfId="15071"/>
    <cellStyle name="SAPBEXaggData 4 2 5" xfId="15072"/>
    <cellStyle name="SAPBEXaggData 4 2 5 2" xfId="15073"/>
    <cellStyle name="SAPBEXaggData 4 2 6" xfId="15074"/>
    <cellStyle name="SAPBEXaggData 4 2 6 2" xfId="15075"/>
    <cellStyle name="SAPBEXaggData 4 2 7" xfId="15076"/>
    <cellStyle name="SAPBEXaggData 4 2 7 2" xfId="15077"/>
    <cellStyle name="SAPBEXaggData 4 3" xfId="15078"/>
    <cellStyle name="SAPBEXaggData 4 3 2" xfId="15079"/>
    <cellStyle name="SAPBEXaggData 4 3 2 2" xfId="15080"/>
    <cellStyle name="SAPBEXaggData 4 3 3" xfId="15081"/>
    <cellStyle name="SAPBEXaggData 4 3 3 2" xfId="15082"/>
    <cellStyle name="SAPBEXaggData 4 3 4" xfId="15083"/>
    <cellStyle name="SAPBEXaggData 4 3 4 2" xfId="15084"/>
    <cellStyle name="SAPBEXaggData 4 3 5" xfId="15085"/>
    <cellStyle name="SAPBEXaggData 4 3 5 2" xfId="15086"/>
    <cellStyle name="SAPBEXaggData 4 4" xfId="15087"/>
    <cellStyle name="SAPBEXaggData 4 4 2" xfId="15088"/>
    <cellStyle name="SAPBEXaggData 4 4 2 2" xfId="15089"/>
    <cellStyle name="SAPBEXaggData 4 4 3" xfId="15090"/>
    <cellStyle name="SAPBEXaggData 4 4 3 2" xfId="15091"/>
    <cellStyle name="SAPBEXaggData 4 4 4" xfId="15092"/>
    <cellStyle name="SAPBEXaggData 4 4 4 2" xfId="15093"/>
    <cellStyle name="SAPBEXaggData 4 4 5" xfId="15094"/>
    <cellStyle name="SAPBEXaggData 4 4 5 2" xfId="15095"/>
    <cellStyle name="SAPBEXaggData 4 5" xfId="15096"/>
    <cellStyle name="SAPBEXaggData 4 5 2" xfId="15097"/>
    <cellStyle name="SAPBEXaggData 4 6" xfId="15098"/>
    <cellStyle name="SAPBEXaggData 4 6 2" xfId="15099"/>
    <cellStyle name="SAPBEXaggData 4 7" xfId="15100"/>
    <cellStyle name="SAPBEXaggData 4 7 2" xfId="15101"/>
    <cellStyle name="SAPBEXaggData 4 8" xfId="15102"/>
    <cellStyle name="SAPBEXaggData 4 8 2" xfId="15103"/>
    <cellStyle name="SAPBEXaggData 5" xfId="2552"/>
    <cellStyle name="SAPBEXaggData 5 2" xfId="15104"/>
    <cellStyle name="SAPBEXaggData 5 2 2" xfId="15105"/>
    <cellStyle name="SAPBEXaggData 5 2 2 2" xfId="15106"/>
    <cellStyle name="SAPBEXaggData 5 2 3" xfId="15107"/>
    <cellStyle name="SAPBEXaggData 5 2 3 2" xfId="15108"/>
    <cellStyle name="SAPBEXaggData 5 2 4" xfId="15109"/>
    <cellStyle name="SAPBEXaggData 5 2 4 2" xfId="15110"/>
    <cellStyle name="SAPBEXaggData 5 2 5" xfId="15111"/>
    <cellStyle name="SAPBEXaggData 5 2 5 2" xfId="15112"/>
    <cellStyle name="SAPBEXaggData 5 3" xfId="15113"/>
    <cellStyle name="SAPBEXaggData 5 3 2" xfId="15114"/>
    <cellStyle name="SAPBEXaggData 5 3 2 2" xfId="15115"/>
    <cellStyle name="SAPBEXaggData 5 3 3" xfId="15116"/>
    <cellStyle name="SAPBEXaggData 5 3 3 2" xfId="15117"/>
    <cellStyle name="SAPBEXaggData 5 3 4" xfId="15118"/>
    <cellStyle name="SAPBEXaggData 5 3 4 2" xfId="15119"/>
    <cellStyle name="SAPBEXaggData 5 3 5" xfId="15120"/>
    <cellStyle name="SAPBEXaggData 5 3 5 2" xfId="15121"/>
    <cellStyle name="SAPBEXaggData 5 4" xfId="15122"/>
    <cellStyle name="SAPBEXaggData 5 4 2" xfId="15123"/>
    <cellStyle name="SAPBEXaggData 5 5" xfId="15124"/>
    <cellStyle name="SAPBEXaggData 5 5 2" xfId="15125"/>
    <cellStyle name="SAPBEXaggData 5 6" xfId="15126"/>
    <cellStyle name="SAPBEXaggData 5 6 2" xfId="15127"/>
    <cellStyle name="SAPBEXaggData 5 7" xfId="15128"/>
    <cellStyle name="SAPBEXaggData 5 7 2" xfId="15129"/>
    <cellStyle name="SAPBEXaggData 6" xfId="15130"/>
    <cellStyle name="SAPBEXaggData 6 2" xfId="15131"/>
    <cellStyle name="SAPBEXaggData 6 2 2" xfId="15132"/>
    <cellStyle name="SAPBEXaggData 6 3" xfId="15133"/>
    <cellStyle name="SAPBEXaggData 6 3 2" xfId="15134"/>
    <cellStyle name="SAPBEXaggData 6 4" xfId="15135"/>
    <cellStyle name="SAPBEXaggData 6 4 2" xfId="15136"/>
    <cellStyle name="SAPBEXaggData 6 5" xfId="15137"/>
    <cellStyle name="SAPBEXaggData 6 5 2" xfId="15138"/>
    <cellStyle name="SAPBEXaggData 7" xfId="15139"/>
    <cellStyle name="SAPBEXaggData 7 2" xfId="15140"/>
    <cellStyle name="SAPBEXaggData 7 2 2" xfId="15141"/>
    <cellStyle name="SAPBEXaggData 7 3" xfId="15142"/>
    <cellStyle name="SAPBEXaggData 7 3 2" xfId="15143"/>
    <cellStyle name="SAPBEXaggData 7 4" xfId="15144"/>
    <cellStyle name="SAPBEXaggData 7 4 2" xfId="15145"/>
    <cellStyle name="SAPBEXaggData 7 5" xfId="15146"/>
    <cellStyle name="SAPBEXaggData 7 5 2" xfId="15147"/>
    <cellStyle name="SAPBEXaggData 8" xfId="15148"/>
    <cellStyle name="SAPBEXaggData 8 2" xfId="15149"/>
    <cellStyle name="SAPBEXaggData 9" xfId="15150"/>
    <cellStyle name="SAPBEXaggData 9 2" xfId="15151"/>
    <cellStyle name="SAPBEXaggDataEmph" xfId="15152"/>
    <cellStyle name="SAPBEXaggDataEmph 2" xfId="15153"/>
    <cellStyle name="SAPBEXaggDataEmph 2 2" xfId="15154"/>
    <cellStyle name="SAPBEXaggDataEmph 2 2 2" xfId="15155"/>
    <cellStyle name="SAPBEXaggDataEmph 2 3" xfId="15156"/>
    <cellStyle name="SAPBEXaggDataEmph 2 3 2" xfId="15157"/>
    <cellStyle name="SAPBEXaggDataEmph 2 4" xfId="15158"/>
    <cellStyle name="SAPBEXaggDataEmph 2 4 2" xfId="15159"/>
    <cellStyle name="SAPBEXaggDataEmph 2 5" xfId="15160"/>
    <cellStyle name="SAPBEXaggDataEmph 2 5 2" xfId="15161"/>
    <cellStyle name="SAPBEXaggDataEmph 3" xfId="15162"/>
    <cellStyle name="SAPBEXaggDataEmph 3 2" xfId="15163"/>
    <cellStyle name="SAPBEXaggDataEmph 3 2 2" xfId="15164"/>
    <cellStyle name="SAPBEXaggDataEmph 3 3" xfId="15165"/>
    <cellStyle name="SAPBEXaggDataEmph 3 3 2" xfId="15166"/>
    <cellStyle name="SAPBEXaggDataEmph 3 4" xfId="15167"/>
    <cellStyle name="SAPBEXaggDataEmph 3 4 2" xfId="15168"/>
    <cellStyle name="SAPBEXaggDataEmph 3 5" xfId="15169"/>
    <cellStyle name="SAPBEXaggDataEmph 3 5 2" xfId="15170"/>
    <cellStyle name="SAPBEXaggDataEmph 4" xfId="15171"/>
    <cellStyle name="SAPBEXaggDataEmph 4 2" xfId="15172"/>
    <cellStyle name="SAPBEXaggDataEmph 5" xfId="15173"/>
    <cellStyle name="SAPBEXaggDataEmph 5 2" xfId="15174"/>
    <cellStyle name="SAPBEXaggDataEmph 6" xfId="15175"/>
    <cellStyle name="SAPBEXaggDataEmph 6 2" xfId="15176"/>
    <cellStyle name="SAPBEXaggDataEmph 7" xfId="15177"/>
    <cellStyle name="SAPBEXaggDataEmph 7 2" xfId="15178"/>
    <cellStyle name="SAPBEXaggItem" xfId="2553"/>
    <cellStyle name="SAPBEXaggItem 10" xfId="15179"/>
    <cellStyle name="SAPBEXaggItem 10 2" xfId="15180"/>
    <cellStyle name="SAPBEXaggItem 11" xfId="15181"/>
    <cellStyle name="SAPBEXaggItem 11 2" xfId="15182"/>
    <cellStyle name="SAPBEXaggItem 2" xfId="2554"/>
    <cellStyle name="SAPBEXaggItem 2 2" xfId="2555"/>
    <cellStyle name="SAPBEXaggItem 2 2 2" xfId="15183"/>
    <cellStyle name="SAPBEXaggItem 2 2 2 2" xfId="15184"/>
    <cellStyle name="SAPBEXaggItem 2 2 2 2 2" xfId="15185"/>
    <cellStyle name="SAPBEXaggItem 2 2 2 3" xfId="15186"/>
    <cellStyle name="SAPBEXaggItem 2 2 2 3 2" xfId="15187"/>
    <cellStyle name="SAPBEXaggItem 2 2 2 4" xfId="15188"/>
    <cellStyle name="SAPBEXaggItem 2 2 2 4 2" xfId="15189"/>
    <cellStyle name="SAPBEXaggItem 2 2 2 5" xfId="15190"/>
    <cellStyle name="SAPBEXaggItem 2 2 2 5 2" xfId="15191"/>
    <cellStyle name="SAPBEXaggItem 2 2 3" xfId="15192"/>
    <cellStyle name="SAPBEXaggItem 2 2 3 2" xfId="15193"/>
    <cellStyle name="SAPBEXaggItem 2 2 3 2 2" xfId="15194"/>
    <cellStyle name="SAPBEXaggItem 2 2 3 3" xfId="15195"/>
    <cellStyle name="SAPBEXaggItem 2 2 3 3 2" xfId="15196"/>
    <cellStyle name="SAPBEXaggItem 2 2 3 4" xfId="15197"/>
    <cellStyle name="SAPBEXaggItem 2 2 3 4 2" xfId="15198"/>
    <cellStyle name="SAPBEXaggItem 2 2 3 5" xfId="15199"/>
    <cellStyle name="SAPBEXaggItem 2 2 3 5 2" xfId="15200"/>
    <cellStyle name="SAPBEXaggItem 2 2 4" xfId="15201"/>
    <cellStyle name="SAPBEXaggItem 2 2 4 2" xfId="15202"/>
    <cellStyle name="SAPBEXaggItem 2 2 5" xfId="15203"/>
    <cellStyle name="SAPBEXaggItem 2 2 5 2" xfId="15204"/>
    <cellStyle name="SAPBEXaggItem 2 2 6" xfId="15205"/>
    <cellStyle name="SAPBEXaggItem 2 2 6 2" xfId="15206"/>
    <cellStyle name="SAPBEXaggItem 2 2 7" xfId="15207"/>
    <cellStyle name="SAPBEXaggItem 2 2 7 2" xfId="15208"/>
    <cellStyle name="SAPBEXaggItem 2 3" xfId="15209"/>
    <cellStyle name="SAPBEXaggItem 2 3 2" xfId="15210"/>
    <cellStyle name="SAPBEXaggItem 2 3 2 2" xfId="15211"/>
    <cellStyle name="SAPBEXaggItem 2 3 3" xfId="15212"/>
    <cellStyle name="SAPBEXaggItem 2 3 3 2" xfId="15213"/>
    <cellStyle name="SAPBEXaggItem 2 3 4" xfId="15214"/>
    <cellStyle name="SAPBEXaggItem 2 3 4 2" xfId="15215"/>
    <cellStyle name="SAPBEXaggItem 2 3 5" xfId="15216"/>
    <cellStyle name="SAPBEXaggItem 2 3 5 2" xfId="15217"/>
    <cellStyle name="SAPBEXaggItem 2 4" xfId="15218"/>
    <cellStyle name="SAPBEXaggItem 2 4 2" xfId="15219"/>
    <cellStyle name="SAPBEXaggItem 2 4 2 2" xfId="15220"/>
    <cellStyle name="SAPBEXaggItem 2 4 3" xfId="15221"/>
    <cellStyle name="SAPBEXaggItem 2 4 3 2" xfId="15222"/>
    <cellStyle name="SAPBEXaggItem 2 4 4" xfId="15223"/>
    <cellStyle name="SAPBEXaggItem 2 4 4 2" xfId="15224"/>
    <cellStyle name="SAPBEXaggItem 2 4 5" xfId="15225"/>
    <cellStyle name="SAPBEXaggItem 2 4 5 2" xfId="15226"/>
    <cellStyle name="SAPBEXaggItem 2 5" xfId="15227"/>
    <cellStyle name="SAPBEXaggItem 2 5 2" xfId="15228"/>
    <cellStyle name="SAPBEXaggItem 2 6" xfId="15229"/>
    <cellStyle name="SAPBEXaggItem 2 6 2" xfId="15230"/>
    <cellStyle name="SAPBEXaggItem 2 7" xfId="15231"/>
    <cellStyle name="SAPBEXaggItem 2 7 2" xfId="15232"/>
    <cellStyle name="SAPBEXaggItem 2 8" xfId="15233"/>
    <cellStyle name="SAPBEXaggItem 2 8 2" xfId="15234"/>
    <cellStyle name="SAPBEXaggItem 3" xfId="2556"/>
    <cellStyle name="SAPBEXaggItem 3 2" xfId="2557"/>
    <cellStyle name="SAPBEXaggItem 3 2 2" xfId="15235"/>
    <cellStyle name="SAPBEXaggItem 3 2 2 2" xfId="15236"/>
    <cellStyle name="SAPBEXaggItem 3 2 2 2 2" xfId="15237"/>
    <cellStyle name="SAPBEXaggItem 3 2 2 3" xfId="15238"/>
    <cellStyle name="SAPBEXaggItem 3 2 2 3 2" xfId="15239"/>
    <cellStyle name="SAPBEXaggItem 3 2 2 4" xfId="15240"/>
    <cellStyle name="SAPBEXaggItem 3 2 2 4 2" xfId="15241"/>
    <cellStyle name="SAPBEXaggItem 3 2 2 5" xfId="15242"/>
    <cellStyle name="SAPBEXaggItem 3 2 2 5 2" xfId="15243"/>
    <cellStyle name="SAPBEXaggItem 3 2 3" xfId="15244"/>
    <cellStyle name="SAPBEXaggItem 3 2 3 2" xfId="15245"/>
    <cellStyle name="SAPBEXaggItem 3 2 3 2 2" xfId="15246"/>
    <cellStyle name="SAPBEXaggItem 3 2 3 3" xfId="15247"/>
    <cellStyle name="SAPBEXaggItem 3 2 3 3 2" xfId="15248"/>
    <cellStyle name="SAPBEXaggItem 3 2 3 4" xfId="15249"/>
    <cellStyle name="SAPBEXaggItem 3 2 3 4 2" xfId="15250"/>
    <cellStyle name="SAPBEXaggItem 3 2 3 5" xfId="15251"/>
    <cellStyle name="SAPBEXaggItem 3 2 3 5 2" xfId="15252"/>
    <cellStyle name="SAPBEXaggItem 3 2 4" xfId="15253"/>
    <cellStyle name="SAPBEXaggItem 3 2 4 2" xfId="15254"/>
    <cellStyle name="SAPBEXaggItem 3 2 5" xfId="15255"/>
    <cellStyle name="SAPBEXaggItem 3 2 5 2" xfId="15256"/>
    <cellStyle name="SAPBEXaggItem 3 2 6" xfId="15257"/>
    <cellStyle name="SAPBEXaggItem 3 2 6 2" xfId="15258"/>
    <cellStyle name="SAPBEXaggItem 3 2 7" xfId="15259"/>
    <cellStyle name="SAPBEXaggItem 3 2 7 2" xfId="15260"/>
    <cellStyle name="SAPBEXaggItem 3 3" xfId="15261"/>
    <cellStyle name="SAPBEXaggItem 3 3 2" xfId="15262"/>
    <cellStyle name="SAPBEXaggItem 3 3 2 2" xfId="15263"/>
    <cellStyle name="SAPBEXaggItem 3 3 3" xfId="15264"/>
    <cellStyle name="SAPBEXaggItem 3 3 3 2" xfId="15265"/>
    <cellStyle name="SAPBEXaggItem 3 3 4" xfId="15266"/>
    <cellStyle name="SAPBEXaggItem 3 3 4 2" xfId="15267"/>
    <cellStyle name="SAPBEXaggItem 3 3 5" xfId="15268"/>
    <cellStyle name="SAPBEXaggItem 3 3 5 2" xfId="15269"/>
    <cellStyle name="SAPBEXaggItem 3 4" xfId="15270"/>
    <cellStyle name="SAPBEXaggItem 3 4 2" xfId="15271"/>
    <cellStyle name="SAPBEXaggItem 3 4 2 2" xfId="15272"/>
    <cellStyle name="SAPBEXaggItem 3 4 3" xfId="15273"/>
    <cellStyle name="SAPBEXaggItem 3 4 3 2" xfId="15274"/>
    <cellStyle name="SAPBEXaggItem 3 4 4" xfId="15275"/>
    <cellStyle name="SAPBEXaggItem 3 4 4 2" xfId="15276"/>
    <cellStyle name="SAPBEXaggItem 3 4 5" xfId="15277"/>
    <cellStyle name="SAPBEXaggItem 3 4 5 2" xfId="15278"/>
    <cellStyle name="SAPBEXaggItem 3 5" xfId="15279"/>
    <cellStyle name="SAPBEXaggItem 3 5 2" xfId="15280"/>
    <cellStyle name="SAPBEXaggItem 3 6" xfId="15281"/>
    <cellStyle name="SAPBEXaggItem 3 6 2" xfId="15282"/>
    <cellStyle name="SAPBEXaggItem 3 7" xfId="15283"/>
    <cellStyle name="SAPBEXaggItem 3 7 2" xfId="15284"/>
    <cellStyle name="SAPBEXaggItem 3 8" xfId="15285"/>
    <cellStyle name="SAPBEXaggItem 3 8 2" xfId="15286"/>
    <cellStyle name="SAPBEXaggItem 4" xfId="2558"/>
    <cellStyle name="SAPBEXaggItem 4 2" xfId="2559"/>
    <cellStyle name="SAPBEXaggItem 4 2 2" xfId="15287"/>
    <cellStyle name="SAPBEXaggItem 4 2 2 2" xfId="15288"/>
    <cellStyle name="SAPBEXaggItem 4 2 2 2 2" xfId="15289"/>
    <cellStyle name="SAPBEXaggItem 4 2 2 3" xfId="15290"/>
    <cellStyle name="SAPBEXaggItem 4 2 2 3 2" xfId="15291"/>
    <cellStyle name="SAPBEXaggItem 4 2 2 4" xfId="15292"/>
    <cellStyle name="SAPBEXaggItem 4 2 2 4 2" xfId="15293"/>
    <cellStyle name="SAPBEXaggItem 4 2 2 5" xfId="15294"/>
    <cellStyle name="SAPBEXaggItem 4 2 2 5 2" xfId="15295"/>
    <cellStyle name="SAPBEXaggItem 4 2 3" xfId="15296"/>
    <cellStyle name="SAPBEXaggItem 4 2 3 2" xfId="15297"/>
    <cellStyle name="SAPBEXaggItem 4 2 3 2 2" xfId="15298"/>
    <cellStyle name="SAPBEXaggItem 4 2 3 3" xfId="15299"/>
    <cellStyle name="SAPBEXaggItem 4 2 3 3 2" xfId="15300"/>
    <cellStyle name="SAPBEXaggItem 4 2 3 4" xfId="15301"/>
    <cellStyle name="SAPBEXaggItem 4 2 3 4 2" xfId="15302"/>
    <cellStyle name="SAPBEXaggItem 4 2 3 5" xfId="15303"/>
    <cellStyle name="SAPBEXaggItem 4 2 3 5 2" xfId="15304"/>
    <cellStyle name="SAPBEXaggItem 4 2 4" xfId="15305"/>
    <cellStyle name="SAPBEXaggItem 4 2 4 2" xfId="15306"/>
    <cellStyle name="SAPBEXaggItem 4 2 5" xfId="15307"/>
    <cellStyle name="SAPBEXaggItem 4 2 5 2" xfId="15308"/>
    <cellStyle name="SAPBEXaggItem 4 2 6" xfId="15309"/>
    <cellStyle name="SAPBEXaggItem 4 2 6 2" xfId="15310"/>
    <cellStyle name="SAPBEXaggItem 4 2 7" xfId="15311"/>
    <cellStyle name="SAPBEXaggItem 4 2 7 2" xfId="15312"/>
    <cellStyle name="SAPBEXaggItem 4 3" xfId="15313"/>
    <cellStyle name="SAPBEXaggItem 4 3 2" xfId="15314"/>
    <cellStyle name="SAPBEXaggItem 4 3 2 2" xfId="15315"/>
    <cellStyle name="SAPBEXaggItem 4 3 3" xfId="15316"/>
    <cellStyle name="SAPBEXaggItem 4 3 3 2" xfId="15317"/>
    <cellStyle name="SAPBEXaggItem 4 3 4" xfId="15318"/>
    <cellStyle name="SAPBEXaggItem 4 3 4 2" xfId="15319"/>
    <cellStyle name="SAPBEXaggItem 4 3 5" xfId="15320"/>
    <cellStyle name="SAPBEXaggItem 4 3 5 2" xfId="15321"/>
    <cellStyle name="SAPBEXaggItem 4 4" xfId="15322"/>
    <cellStyle name="SAPBEXaggItem 4 4 2" xfId="15323"/>
    <cellStyle name="SAPBEXaggItem 4 4 2 2" xfId="15324"/>
    <cellStyle name="SAPBEXaggItem 4 4 3" xfId="15325"/>
    <cellStyle name="SAPBEXaggItem 4 4 3 2" xfId="15326"/>
    <cellStyle name="SAPBEXaggItem 4 4 4" xfId="15327"/>
    <cellStyle name="SAPBEXaggItem 4 4 4 2" xfId="15328"/>
    <cellStyle name="SAPBEXaggItem 4 4 5" xfId="15329"/>
    <cellStyle name="SAPBEXaggItem 4 4 5 2" xfId="15330"/>
    <cellStyle name="SAPBEXaggItem 4 5" xfId="15331"/>
    <cellStyle name="SAPBEXaggItem 4 5 2" xfId="15332"/>
    <cellStyle name="SAPBEXaggItem 4 6" xfId="15333"/>
    <cellStyle name="SAPBEXaggItem 4 6 2" xfId="15334"/>
    <cellStyle name="SAPBEXaggItem 4 7" xfId="15335"/>
    <cellStyle name="SAPBEXaggItem 4 7 2" xfId="15336"/>
    <cellStyle name="SAPBEXaggItem 4 8" xfId="15337"/>
    <cellStyle name="SAPBEXaggItem 4 8 2" xfId="15338"/>
    <cellStyle name="SAPBEXaggItem 5" xfId="2560"/>
    <cellStyle name="SAPBEXaggItem 5 2" xfId="15339"/>
    <cellStyle name="SAPBEXaggItem 5 2 2" xfId="15340"/>
    <cellStyle name="SAPBEXaggItem 5 2 2 2" xfId="15341"/>
    <cellStyle name="SAPBEXaggItem 5 2 3" xfId="15342"/>
    <cellStyle name="SAPBEXaggItem 5 2 3 2" xfId="15343"/>
    <cellStyle name="SAPBEXaggItem 5 2 4" xfId="15344"/>
    <cellStyle name="SAPBEXaggItem 5 2 4 2" xfId="15345"/>
    <cellStyle name="SAPBEXaggItem 5 2 5" xfId="15346"/>
    <cellStyle name="SAPBEXaggItem 5 2 5 2" xfId="15347"/>
    <cellStyle name="SAPBEXaggItem 5 3" xfId="15348"/>
    <cellStyle name="SAPBEXaggItem 5 3 2" xfId="15349"/>
    <cellStyle name="SAPBEXaggItem 5 3 2 2" xfId="15350"/>
    <cellStyle name="SAPBEXaggItem 5 3 3" xfId="15351"/>
    <cellStyle name="SAPBEXaggItem 5 3 3 2" xfId="15352"/>
    <cellStyle name="SAPBEXaggItem 5 3 4" xfId="15353"/>
    <cellStyle name="SAPBEXaggItem 5 3 4 2" xfId="15354"/>
    <cellStyle name="SAPBEXaggItem 5 3 5" xfId="15355"/>
    <cellStyle name="SAPBEXaggItem 5 3 5 2" xfId="15356"/>
    <cellStyle name="SAPBEXaggItem 5 4" xfId="15357"/>
    <cellStyle name="SAPBEXaggItem 5 4 2" xfId="15358"/>
    <cellStyle name="SAPBEXaggItem 5 5" xfId="15359"/>
    <cellStyle name="SAPBEXaggItem 5 5 2" xfId="15360"/>
    <cellStyle name="SAPBEXaggItem 5 6" xfId="15361"/>
    <cellStyle name="SAPBEXaggItem 5 6 2" xfId="15362"/>
    <cellStyle name="SAPBEXaggItem 5 7" xfId="15363"/>
    <cellStyle name="SAPBEXaggItem 5 7 2" xfId="15364"/>
    <cellStyle name="SAPBEXaggItem 6" xfId="15365"/>
    <cellStyle name="SAPBEXaggItem 6 2" xfId="15366"/>
    <cellStyle name="SAPBEXaggItem 6 2 2" xfId="15367"/>
    <cellStyle name="SAPBEXaggItem 6 3" xfId="15368"/>
    <cellStyle name="SAPBEXaggItem 6 3 2" xfId="15369"/>
    <cellStyle name="SAPBEXaggItem 6 4" xfId="15370"/>
    <cellStyle name="SAPBEXaggItem 6 4 2" xfId="15371"/>
    <cellStyle name="SAPBEXaggItem 6 5" xfId="15372"/>
    <cellStyle name="SAPBEXaggItem 6 5 2" xfId="15373"/>
    <cellStyle name="SAPBEXaggItem 7" xfId="15374"/>
    <cellStyle name="SAPBEXaggItem 7 2" xfId="15375"/>
    <cellStyle name="SAPBEXaggItem 7 2 2" xfId="15376"/>
    <cellStyle name="SAPBEXaggItem 7 3" xfId="15377"/>
    <cellStyle name="SAPBEXaggItem 7 3 2" xfId="15378"/>
    <cellStyle name="SAPBEXaggItem 7 4" xfId="15379"/>
    <cellStyle name="SAPBEXaggItem 7 4 2" xfId="15380"/>
    <cellStyle name="SAPBEXaggItem 7 5" xfId="15381"/>
    <cellStyle name="SAPBEXaggItem 7 5 2" xfId="15382"/>
    <cellStyle name="SAPBEXaggItem 8" xfId="15383"/>
    <cellStyle name="SAPBEXaggItem 8 2" xfId="15384"/>
    <cellStyle name="SAPBEXaggItem 9" xfId="15385"/>
    <cellStyle name="SAPBEXaggItem 9 2" xfId="15386"/>
    <cellStyle name="SAPBEXaggItemX" xfId="15387"/>
    <cellStyle name="SAPBEXaggItemX 2" xfId="15388"/>
    <cellStyle name="SAPBEXaggItemX 2 2" xfId="15389"/>
    <cellStyle name="SAPBEXaggItemX 2 2 2" xfId="15390"/>
    <cellStyle name="SAPBEXaggItemX 2 3" xfId="15391"/>
    <cellStyle name="SAPBEXaggItemX 2 3 2" xfId="15392"/>
    <cellStyle name="SAPBEXaggItemX 2 4" xfId="15393"/>
    <cellStyle name="SAPBEXaggItemX 2 4 2" xfId="15394"/>
    <cellStyle name="SAPBEXaggItemX 2 5" xfId="15395"/>
    <cellStyle name="SAPBEXaggItemX 2 5 2" xfId="15396"/>
    <cellStyle name="SAPBEXaggItemX 3" xfId="15397"/>
    <cellStyle name="SAPBEXaggItemX 3 2" xfId="15398"/>
    <cellStyle name="SAPBEXaggItemX 3 2 2" xfId="15399"/>
    <cellStyle name="SAPBEXaggItemX 3 3" xfId="15400"/>
    <cellStyle name="SAPBEXaggItemX 3 3 2" xfId="15401"/>
    <cellStyle name="SAPBEXaggItemX 3 4" xfId="15402"/>
    <cellStyle name="SAPBEXaggItemX 3 4 2" xfId="15403"/>
    <cellStyle name="SAPBEXaggItemX 3 5" xfId="15404"/>
    <cellStyle name="SAPBEXaggItemX 3 5 2" xfId="15405"/>
    <cellStyle name="SAPBEXaggItemX 4" xfId="15406"/>
    <cellStyle name="SAPBEXaggItemX 4 2" xfId="15407"/>
    <cellStyle name="SAPBEXaggItemX 5" xfId="15408"/>
    <cellStyle name="SAPBEXaggItemX 5 2" xfId="15409"/>
    <cellStyle name="SAPBEXaggItemX 6" xfId="15410"/>
    <cellStyle name="SAPBEXaggItemX 6 2" xfId="15411"/>
    <cellStyle name="SAPBEXaggItemX 7" xfId="15412"/>
    <cellStyle name="SAPBEXaggItemX 7 2" xfId="15413"/>
    <cellStyle name="SAPBEXbackground" xfId="2561"/>
    <cellStyle name="SAPBEXchaText" xfId="15414"/>
    <cellStyle name="SAPBEXexcBad7" xfId="15415"/>
    <cellStyle name="SAPBEXexcBad7 2" xfId="15416"/>
    <cellStyle name="SAPBEXexcBad7 2 2" xfId="15417"/>
    <cellStyle name="SAPBEXexcBad7 2 2 2" xfId="15418"/>
    <cellStyle name="SAPBEXexcBad7 2 3" xfId="15419"/>
    <cellStyle name="SAPBEXexcBad7 2 3 2" xfId="15420"/>
    <cellStyle name="SAPBEXexcBad7 2 4" xfId="15421"/>
    <cellStyle name="SAPBEXexcBad7 2 4 2" xfId="15422"/>
    <cellStyle name="SAPBEXexcBad7 2 5" xfId="15423"/>
    <cellStyle name="SAPBEXexcBad7 2 5 2" xfId="15424"/>
    <cellStyle name="SAPBEXexcBad7 3" xfId="15425"/>
    <cellStyle name="SAPBEXexcBad7 3 2" xfId="15426"/>
    <cellStyle name="SAPBEXexcBad7 3 2 2" xfId="15427"/>
    <cellStyle name="SAPBEXexcBad7 3 3" xfId="15428"/>
    <cellStyle name="SAPBEXexcBad7 3 3 2" xfId="15429"/>
    <cellStyle name="SAPBEXexcBad7 3 4" xfId="15430"/>
    <cellStyle name="SAPBEXexcBad7 3 4 2" xfId="15431"/>
    <cellStyle name="SAPBEXexcBad7 3 5" xfId="15432"/>
    <cellStyle name="SAPBEXexcBad7 3 5 2" xfId="15433"/>
    <cellStyle name="SAPBEXexcBad7 4" xfId="15434"/>
    <cellStyle name="SAPBEXexcBad7 4 2" xfId="15435"/>
    <cellStyle name="SAPBEXexcBad7 5" xfId="15436"/>
    <cellStyle name="SAPBEXexcBad7 5 2" xfId="15437"/>
    <cellStyle name="SAPBEXexcBad7 6" xfId="15438"/>
    <cellStyle name="SAPBEXexcBad7 6 2" xfId="15439"/>
    <cellStyle name="SAPBEXexcBad7 7" xfId="15440"/>
    <cellStyle name="SAPBEXexcBad7 7 2" xfId="15441"/>
    <cellStyle name="SAPBEXexcBad8" xfId="15442"/>
    <cellStyle name="SAPBEXexcBad8 2" xfId="15443"/>
    <cellStyle name="SAPBEXexcBad8 2 2" xfId="15444"/>
    <cellStyle name="SAPBEXexcBad8 2 2 2" xfId="15445"/>
    <cellStyle name="SAPBEXexcBad8 2 3" xfId="15446"/>
    <cellStyle name="SAPBEXexcBad8 2 3 2" xfId="15447"/>
    <cellStyle name="SAPBEXexcBad8 2 4" xfId="15448"/>
    <cellStyle name="SAPBEXexcBad8 2 4 2" xfId="15449"/>
    <cellStyle name="SAPBEXexcBad8 2 5" xfId="15450"/>
    <cellStyle name="SAPBEXexcBad8 2 5 2" xfId="15451"/>
    <cellStyle name="SAPBEXexcBad8 3" xfId="15452"/>
    <cellStyle name="SAPBEXexcBad8 3 2" xfId="15453"/>
    <cellStyle name="SAPBEXexcBad8 3 2 2" xfId="15454"/>
    <cellStyle name="SAPBEXexcBad8 3 3" xfId="15455"/>
    <cellStyle name="SAPBEXexcBad8 3 3 2" xfId="15456"/>
    <cellStyle name="SAPBEXexcBad8 3 4" xfId="15457"/>
    <cellStyle name="SAPBEXexcBad8 3 4 2" xfId="15458"/>
    <cellStyle name="SAPBEXexcBad8 3 5" xfId="15459"/>
    <cellStyle name="SAPBEXexcBad8 3 5 2" xfId="15460"/>
    <cellStyle name="SAPBEXexcBad8 4" xfId="15461"/>
    <cellStyle name="SAPBEXexcBad8 4 2" xfId="15462"/>
    <cellStyle name="SAPBEXexcBad8 5" xfId="15463"/>
    <cellStyle name="SAPBEXexcBad8 5 2" xfId="15464"/>
    <cellStyle name="SAPBEXexcBad8 6" xfId="15465"/>
    <cellStyle name="SAPBEXexcBad8 6 2" xfId="15466"/>
    <cellStyle name="SAPBEXexcBad8 7" xfId="15467"/>
    <cellStyle name="SAPBEXexcBad8 7 2" xfId="15468"/>
    <cellStyle name="SAPBEXexcBad9" xfId="2562"/>
    <cellStyle name="SAPBEXexcBad9 10" xfId="15469"/>
    <cellStyle name="SAPBEXexcBad9 10 2" xfId="15470"/>
    <cellStyle name="SAPBEXexcBad9 11" xfId="15471"/>
    <cellStyle name="SAPBEXexcBad9 11 2" xfId="15472"/>
    <cellStyle name="SAPBEXexcBad9 2" xfId="2563"/>
    <cellStyle name="SAPBEXexcBad9 2 2" xfId="2564"/>
    <cellStyle name="SAPBEXexcBad9 2 2 2" xfId="15473"/>
    <cellStyle name="SAPBEXexcBad9 2 2 2 2" xfId="15474"/>
    <cellStyle name="SAPBEXexcBad9 2 2 2 2 2" xfId="15475"/>
    <cellStyle name="SAPBEXexcBad9 2 2 2 3" xfId="15476"/>
    <cellStyle name="SAPBEXexcBad9 2 2 2 3 2" xfId="15477"/>
    <cellStyle name="SAPBEXexcBad9 2 2 2 4" xfId="15478"/>
    <cellStyle name="SAPBEXexcBad9 2 2 2 4 2" xfId="15479"/>
    <cellStyle name="SAPBEXexcBad9 2 2 2 5" xfId="15480"/>
    <cellStyle name="SAPBEXexcBad9 2 2 2 5 2" xfId="15481"/>
    <cellStyle name="SAPBEXexcBad9 2 2 3" xfId="15482"/>
    <cellStyle name="SAPBEXexcBad9 2 2 3 2" xfId="15483"/>
    <cellStyle name="SAPBEXexcBad9 2 2 3 2 2" xfId="15484"/>
    <cellStyle name="SAPBEXexcBad9 2 2 3 3" xfId="15485"/>
    <cellStyle name="SAPBEXexcBad9 2 2 3 3 2" xfId="15486"/>
    <cellStyle name="SAPBEXexcBad9 2 2 3 4" xfId="15487"/>
    <cellStyle name="SAPBEXexcBad9 2 2 3 4 2" xfId="15488"/>
    <cellStyle name="SAPBEXexcBad9 2 2 3 5" xfId="15489"/>
    <cellStyle name="SAPBEXexcBad9 2 2 3 5 2" xfId="15490"/>
    <cellStyle name="SAPBEXexcBad9 2 2 4" xfId="15491"/>
    <cellStyle name="SAPBEXexcBad9 2 2 4 2" xfId="15492"/>
    <cellStyle name="SAPBEXexcBad9 2 2 5" xfId="15493"/>
    <cellStyle name="SAPBEXexcBad9 2 2 5 2" xfId="15494"/>
    <cellStyle name="SAPBEXexcBad9 2 2 6" xfId="15495"/>
    <cellStyle name="SAPBEXexcBad9 2 2 6 2" xfId="15496"/>
    <cellStyle name="SAPBEXexcBad9 2 2 7" xfId="15497"/>
    <cellStyle name="SAPBEXexcBad9 2 2 7 2" xfId="15498"/>
    <cellStyle name="SAPBEXexcBad9 2 3" xfId="15499"/>
    <cellStyle name="SAPBEXexcBad9 2 3 2" xfId="15500"/>
    <cellStyle name="SAPBEXexcBad9 2 3 2 2" xfId="15501"/>
    <cellStyle name="SAPBEXexcBad9 2 3 3" xfId="15502"/>
    <cellStyle name="SAPBEXexcBad9 2 3 3 2" xfId="15503"/>
    <cellStyle name="SAPBEXexcBad9 2 3 4" xfId="15504"/>
    <cellStyle name="SAPBEXexcBad9 2 3 4 2" xfId="15505"/>
    <cellStyle name="SAPBEXexcBad9 2 3 5" xfId="15506"/>
    <cellStyle name="SAPBEXexcBad9 2 3 5 2" xfId="15507"/>
    <cellStyle name="SAPBEXexcBad9 2 4" xfId="15508"/>
    <cellStyle name="SAPBEXexcBad9 2 4 2" xfId="15509"/>
    <cellStyle name="SAPBEXexcBad9 2 4 2 2" xfId="15510"/>
    <cellStyle name="SAPBEXexcBad9 2 4 3" xfId="15511"/>
    <cellStyle name="SAPBEXexcBad9 2 4 3 2" xfId="15512"/>
    <cellStyle name="SAPBEXexcBad9 2 4 4" xfId="15513"/>
    <cellStyle name="SAPBEXexcBad9 2 4 4 2" xfId="15514"/>
    <cellStyle name="SAPBEXexcBad9 2 4 5" xfId="15515"/>
    <cellStyle name="SAPBEXexcBad9 2 4 5 2" xfId="15516"/>
    <cellStyle name="SAPBEXexcBad9 2 5" xfId="15517"/>
    <cellStyle name="SAPBEXexcBad9 2 5 2" xfId="15518"/>
    <cellStyle name="SAPBEXexcBad9 2 6" xfId="15519"/>
    <cellStyle name="SAPBEXexcBad9 2 6 2" xfId="15520"/>
    <cellStyle name="SAPBEXexcBad9 2 7" xfId="15521"/>
    <cellStyle name="SAPBEXexcBad9 2 7 2" xfId="15522"/>
    <cellStyle name="SAPBEXexcBad9 2 8" xfId="15523"/>
    <cellStyle name="SAPBEXexcBad9 2 8 2" xfId="15524"/>
    <cellStyle name="SAPBEXexcBad9 3" xfId="2565"/>
    <cellStyle name="SAPBEXexcBad9 3 2" xfId="2566"/>
    <cellStyle name="SAPBEXexcBad9 3 2 2" xfId="15525"/>
    <cellStyle name="SAPBEXexcBad9 3 2 2 2" xfId="15526"/>
    <cellStyle name="SAPBEXexcBad9 3 2 2 2 2" xfId="15527"/>
    <cellStyle name="SAPBEXexcBad9 3 2 2 3" xfId="15528"/>
    <cellStyle name="SAPBEXexcBad9 3 2 2 3 2" xfId="15529"/>
    <cellStyle name="SAPBEXexcBad9 3 2 2 4" xfId="15530"/>
    <cellStyle name="SAPBEXexcBad9 3 2 2 4 2" xfId="15531"/>
    <cellStyle name="SAPBEXexcBad9 3 2 2 5" xfId="15532"/>
    <cellStyle name="SAPBEXexcBad9 3 2 2 5 2" xfId="15533"/>
    <cellStyle name="SAPBEXexcBad9 3 2 3" xfId="15534"/>
    <cellStyle name="SAPBEXexcBad9 3 2 3 2" xfId="15535"/>
    <cellStyle name="SAPBEXexcBad9 3 2 3 2 2" xfId="15536"/>
    <cellStyle name="SAPBEXexcBad9 3 2 3 3" xfId="15537"/>
    <cellStyle name="SAPBEXexcBad9 3 2 3 3 2" xfId="15538"/>
    <cellStyle name="SAPBEXexcBad9 3 2 3 4" xfId="15539"/>
    <cellStyle name="SAPBEXexcBad9 3 2 3 4 2" xfId="15540"/>
    <cellStyle name="SAPBEXexcBad9 3 2 3 5" xfId="15541"/>
    <cellStyle name="SAPBEXexcBad9 3 2 3 5 2" xfId="15542"/>
    <cellStyle name="SAPBEXexcBad9 3 2 4" xfId="15543"/>
    <cellStyle name="SAPBEXexcBad9 3 2 4 2" xfId="15544"/>
    <cellStyle name="SAPBEXexcBad9 3 2 5" xfId="15545"/>
    <cellStyle name="SAPBEXexcBad9 3 2 5 2" xfId="15546"/>
    <cellStyle name="SAPBEXexcBad9 3 2 6" xfId="15547"/>
    <cellStyle name="SAPBEXexcBad9 3 2 6 2" xfId="15548"/>
    <cellStyle name="SAPBEXexcBad9 3 2 7" xfId="15549"/>
    <cellStyle name="SAPBEXexcBad9 3 2 7 2" xfId="15550"/>
    <cellStyle name="SAPBEXexcBad9 3 3" xfId="15551"/>
    <cellStyle name="SAPBEXexcBad9 3 3 2" xfId="15552"/>
    <cellStyle name="SAPBEXexcBad9 3 3 2 2" xfId="15553"/>
    <cellStyle name="SAPBEXexcBad9 3 3 3" xfId="15554"/>
    <cellStyle name="SAPBEXexcBad9 3 3 3 2" xfId="15555"/>
    <cellStyle name="SAPBEXexcBad9 3 3 4" xfId="15556"/>
    <cellStyle name="SAPBEXexcBad9 3 3 4 2" xfId="15557"/>
    <cellStyle name="SAPBEXexcBad9 3 3 5" xfId="15558"/>
    <cellStyle name="SAPBEXexcBad9 3 3 5 2" xfId="15559"/>
    <cellStyle name="SAPBEXexcBad9 3 4" xfId="15560"/>
    <cellStyle name="SAPBEXexcBad9 3 4 2" xfId="15561"/>
    <cellStyle name="SAPBEXexcBad9 3 4 2 2" xfId="15562"/>
    <cellStyle name="SAPBEXexcBad9 3 4 3" xfId="15563"/>
    <cellStyle name="SAPBEXexcBad9 3 4 3 2" xfId="15564"/>
    <cellStyle name="SAPBEXexcBad9 3 4 4" xfId="15565"/>
    <cellStyle name="SAPBEXexcBad9 3 4 4 2" xfId="15566"/>
    <cellStyle name="SAPBEXexcBad9 3 4 5" xfId="15567"/>
    <cellStyle name="SAPBEXexcBad9 3 4 5 2" xfId="15568"/>
    <cellStyle name="SAPBEXexcBad9 3 5" xfId="15569"/>
    <cellStyle name="SAPBEXexcBad9 3 5 2" xfId="15570"/>
    <cellStyle name="SAPBEXexcBad9 3 6" xfId="15571"/>
    <cellStyle name="SAPBEXexcBad9 3 6 2" xfId="15572"/>
    <cellStyle name="SAPBEXexcBad9 3 7" xfId="15573"/>
    <cellStyle name="SAPBEXexcBad9 3 7 2" xfId="15574"/>
    <cellStyle name="SAPBEXexcBad9 3 8" xfId="15575"/>
    <cellStyle name="SAPBEXexcBad9 3 8 2" xfId="15576"/>
    <cellStyle name="SAPBEXexcBad9 4" xfId="2567"/>
    <cellStyle name="SAPBEXexcBad9 4 2" xfId="2568"/>
    <cellStyle name="SAPBEXexcBad9 4 2 2" xfId="15577"/>
    <cellStyle name="SAPBEXexcBad9 4 2 2 2" xfId="15578"/>
    <cellStyle name="SAPBEXexcBad9 4 2 2 2 2" xfId="15579"/>
    <cellStyle name="SAPBEXexcBad9 4 2 2 3" xfId="15580"/>
    <cellStyle name="SAPBEXexcBad9 4 2 2 3 2" xfId="15581"/>
    <cellStyle name="SAPBEXexcBad9 4 2 2 4" xfId="15582"/>
    <cellStyle name="SAPBEXexcBad9 4 2 2 4 2" xfId="15583"/>
    <cellStyle name="SAPBEXexcBad9 4 2 2 5" xfId="15584"/>
    <cellStyle name="SAPBEXexcBad9 4 2 2 5 2" xfId="15585"/>
    <cellStyle name="SAPBEXexcBad9 4 2 3" xfId="15586"/>
    <cellStyle name="SAPBEXexcBad9 4 2 3 2" xfId="15587"/>
    <cellStyle name="SAPBEXexcBad9 4 2 3 2 2" xfId="15588"/>
    <cellStyle name="SAPBEXexcBad9 4 2 3 3" xfId="15589"/>
    <cellStyle name="SAPBEXexcBad9 4 2 3 3 2" xfId="15590"/>
    <cellStyle name="SAPBEXexcBad9 4 2 3 4" xfId="15591"/>
    <cellStyle name="SAPBEXexcBad9 4 2 3 4 2" xfId="15592"/>
    <cellStyle name="SAPBEXexcBad9 4 2 3 5" xfId="15593"/>
    <cellStyle name="SAPBEXexcBad9 4 2 3 5 2" xfId="15594"/>
    <cellStyle name="SAPBEXexcBad9 4 2 4" xfId="15595"/>
    <cellStyle name="SAPBEXexcBad9 4 2 4 2" xfId="15596"/>
    <cellStyle name="SAPBEXexcBad9 4 2 5" xfId="15597"/>
    <cellStyle name="SAPBEXexcBad9 4 2 5 2" xfId="15598"/>
    <cellStyle name="SAPBEXexcBad9 4 2 6" xfId="15599"/>
    <cellStyle name="SAPBEXexcBad9 4 2 6 2" xfId="15600"/>
    <cellStyle name="SAPBEXexcBad9 4 2 7" xfId="15601"/>
    <cellStyle name="SAPBEXexcBad9 4 2 7 2" xfId="15602"/>
    <cellStyle name="SAPBEXexcBad9 4 3" xfId="15603"/>
    <cellStyle name="SAPBEXexcBad9 4 3 2" xfId="15604"/>
    <cellStyle name="SAPBEXexcBad9 4 3 2 2" xfId="15605"/>
    <cellStyle name="SAPBEXexcBad9 4 3 3" xfId="15606"/>
    <cellStyle name="SAPBEXexcBad9 4 3 3 2" xfId="15607"/>
    <cellStyle name="SAPBEXexcBad9 4 3 4" xfId="15608"/>
    <cellStyle name="SAPBEXexcBad9 4 3 4 2" xfId="15609"/>
    <cellStyle name="SAPBEXexcBad9 4 3 5" xfId="15610"/>
    <cellStyle name="SAPBEXexcBad9 4 3 5 2" xfId="15611"/>
    <cellStyle name="SAPBEXexcBad9 4 4" xfId="15612"/>
    <cellStyle name="SAPBEXexcBad9 4 4 2" xfId="15613"/>
    <cellStyle name="SAPBEXexcBad9 4 4 2 2" xfId="15614"/>
    <cellStyle name="SAPBEXexcBad9 4 4 3" xfId="15615"/>
    <cellStyle name="SAPBEXexcBad9 4 4 3 2" xfId="15616"/>
    <cellStyle name="SAPBEXexcBad9 4 4 4" xfId="15617"/>
    <cellStyle name="SAPBEXexcBad9 4 4 4 2" xfId="15618"/>
    <cellStyle name="SAPBEXexcBad9 4 4 5" xfId="15619"/>
    <cellStyle name="SAPBEXexcBad9 4 4 5 2" xfId="15620"/>
    <cellStyle name="SAPBEXexcBad9 4 5" xfId="15621"/>
    <cellStyle name="SAPBEXexcBad9 4 5 2" xfId="15622"/>
    <cellStyle name="SAPBEXexcBad9 4 6" xfId="15623"/>
    <cellStyle name="SAPBEXexcBad9 4 6 2" xfId="15624"/>
    <cellStyle name="SAPBEXexcBad9 4 7" xfId="15625"/>
    <cellStyle name="SAPBEXexcBad9 4 7 2" xfId="15626"/>
    <cellStyle name="SAPBEXexcBad9 4 8" xfId="15627"/>
    <cellStyle name="SAPBEXexcBad9 4 8 2" xfId="15628"/>
    <cellStyle name="SAPBEXexcBad9 5" xfId="2569"/>
    <cellStyle name="SAPBEXexcBad9 5 2" xfId="15629"/>
    <cellStyle name="SAPBEXexcBad9 5 2 2" xfId="15630"/>
    <cellStyle name="SAPBEXexcBad9 5 2 2 2" xfId="15631"/>
    <cellStyle name="SAPBEXexcBad9 5 2 3" xfId="15632"/>
    <cellStyle name="SAPBEXexcBad9 5 2 3 2" xfId="15633"/>
    <cellStyle name="SAPBEXexcBad9 5 2 4" xfId="15634"/>
    <cellStyle name="SAPBEXexcBad9 5 2 4 2" xfId="15635"/>
    <cellStyle name="SAPBEXexcBad9 5 2 5" xfId="15636"/>
    <cellStyle name="SAPBEXexcBad9 5 2 5 2" xfId="15637"/>
    <cellStyle name="SAPBEXexcBad9 5 3" xfId="15638"/>
    <cellStyle name="SAPBEXexcBad9 5 3 2" xfId="15639"/>
    <cellStyle name="SAPBEXexcBad9 5 3 2 2" xfId="15640"/>
    <cellStyle name="SAPBEXexcBad9 5 3 3" xfId="15641"/>
    <cellStyle name="SAPBEXexcBad9 5 3 3 2" xfId="15642"/>
    <cellStyle name="SAPBEXexcBad9 5 3 4" xfId="15643"/>
    <cellStyle name="SAPBEXexcBad9 5 3 4 2" xfId="15644"/>
    <cellStyle name="SAPBEXexcBad9 5 3 5" xfId="15645"/>
    <cellStyle name="SAPBEXexcBad9 5 3 5 2" xfId="15646"/>
    <cellStyle name="SAPBEXexcBad9 5 4" xfId="15647"/>
    <cellStyle name="SAPBEXexcBad9 5 4 2" xfId="15648"/>
    <cellStyle name="SAPBEXexcBad9 5 5" xfId="15649"/>
    <cellStyle name="SAPBEXexcBad9 5 5 2" xfId="15650"/>
    <cellStyle name="SAPBEXexcBad9 5 6" xfId="15651"/>
    <cellStyle name="SAPBEXexcBad9 5 6 2" xfId="15652"/>
    <cellStyle name="SAPBEXexcBad9 5 7" xfId="15653"/>
    <cellStyle name="SAPBEXexcBad9 5 7 2" xfId="15654"/>
    <cellStyle name="SAPBEXexcBad9 6" xfId="15655"/>
    <cellStyle name="SAPBEXexcBad9 6 2" xfId="15656"/>
    <cellStyle name="SAPBEXexcBad9 6 2 2" xfId="15657"/>
    <cellStyle name="SAPBEXexcBad9 6 3" xfId="15658"/>
    <cellStyle name="SAPBEXexcBad9 6 3 2" xfId="15659"/>
    <cellStyle name="SAPBEXexcBad9 6 4" xfId="15660"/>
    <cellStyle name="SAPBEXexcBad9 6 4 2" xfId="15661"/>
    <cellStyle name="SAPBEXexcBad9 6 5" xfId="15662"/>
    <cellStyle name="SAPBEXexcBad9 6 5 2" xfId="15663"/>
    <cellStyle name="SAPBEXexcBad9 7" xfId="15664"/>
    <cellStyle name="SAPBEXexcBad9 7 2" xfId="15665"/>
    <cellStyle name="SAPBEXexcBad9 7 2 2" xfId="15666"/>
    <cellStyle name="SAPBEXexcBad9 7 3" xfId="15667"/>
    <cellStyle name="SAPBEXexcBad9 7 3 2" xfId="15668"/>
    <cellStyle name="SAPBEXexcBad9 7 4" xfId="15669"/>
    <cellStyle name="SAPBEXexcBad9 7 4 2" xfId="15670"/>
    <cellStyle name="SAPBEXexcBad9 7 5" xfId="15671"/>
    <cellStyle name="SAPBEXexcBad9 7 5 2" xfId="15672"/>
    <cellStyle name="SAPBEXexcBad9 8" xfId="15673"/>
    <cellStyle name="SAPBEXexcBad9 8 2" xfId="15674"/>
    <cellStyle name="SAPBEXexcBad9 9" xfId="15675"/>
    <cellStyle name="SAPBEXexcBad9 9 2" xfId="15676"/>
    <cellStyle name="SAPBEXexcCritical4" xfId="15677"/>
    <cellStyle name="SAPBEXexcCritical4 2" xfId="15678"/>
    <cellStyle name="SAPBEXexcCritical4 2 2" xfId="15679"/>
    <cellStyle name="SAPBEXexcCritical4 2 2 2" xfId="15680"/>
    <cellStyle name="SAPBEXexcCritical4 2 3" xfId="15681"/>
    <cellStyle name="SAPBEXexcCritical4 2 3 2" xfId="15682"/>
    <cellStyle name="SAPBEXexcCritical4 2 4" xfId="15683"/>
    <cellStyle name="SAPBEXexcCritical4 2 4 2" xfId="15684"/>
    <cellStyle name="SAPBEXexcCritical4 2 5" xfId="15685"/>
    <cellStyle name="SAPBEXexcCritical4 2 5 2" xfId="15686"/>
    <cellStyle name="SAPBEXexcCritical4 3" xfId="15687"/>
    <cellStyle name="SAPBEXexcCritical4 3 2" xfId="15688"/>
    <cellStyle name="SAPBEXexcCritical4 3 2 2" xfId="15689"/>
    <cellStyle name="SAPBEXexcCritical4 3 3" xfId="15690"/>
    <cellStyle name="SAPBEXexcCritical4 3 3 2" xfId="15691"/>
    <cellStyle name="SAPBEXexcCritical4 3 4" xfId="15692"/>
    <cellStyle name="SAPBEXexcCritical4 3 4 2" xfId="15693"/>
    <cellStyle name="SAPBEXexcCritical4 3 5" xfId="15694"/>
    <cellStyle name="SAPBEXexcCritical4 3 5 2" xfId="15695"/>
    <cellStyle name="SAPBEXexcCritical4 4" xfId="15696"/>
    <cellStyle name="SAPBEXexcCritical4 4 2" xfId="15697"/>
    <cellStyle name="SAPBEXexcCritical4 5" xfId="15698"/>
    <cellStyle name="SAPBEXexcCritical4 5 2" xfId="15699"/>
    <cellStyle name="SAPBEXexcCritical4 6" xfId="15700"/>
    <cellStyle name="SAPBEXexcCritical4 6 2" xfId="15701"/>
    <cellStyle name="SAPBEXexcCritical4 7" xfId="15702"/>
    <cellStyle name="SAPBEXexcCritical4 7 2" xfId="15703"/>
    <cellStyle name="SAPBEXexcCritical5" xfId="15704"/>
    <cellStyle name="SAPBEXexcCritical5 2" xfId="15705"/>
    <cellStyle name="SAPBEXexcCritical5 2 2" xfId="15706"/>
    <cellStyle name="SAPBEXexcCritical5 2 2 2" xfId="15707"/>
    <cellStyle name="SAPBEXexcCritical5 2 3" xfId="15708"/>
    <cellStyle name="SAPBEXexcCritical5 2 3 2" xfId="15709"/>
    <cellStyle name="SAPBEXexcCritical5 2 4" xfId="15710"/>
    <cellStyle name="SAPBEXexcCritical5 2 4 2" xfId="15711"/>
    <cellStyle name="SAPBEXexcCritical5 2 5" xfId="15712"/>
    <cellStyle name="SAPBEXexcCritical5 2 5 2" xfId="15713"/>
    <cellStyle name="SAPBEXexcCritical5 3" xfId="15714"/>
    <cellStyle name="SAPBEXexcCritical5 3 2" xfId="15715"/>
    <cellStyle name="SAPBEXexcCritical5 3 2 2" xfId="15716"/>
    <cellStyle name="SAPBEXexcCritical5 3 3" xfId="15717"/>
    <cellStyle name="SAPBEXexcCritical5 3 3 2" xfId="15718"/>
    <cellStyle name="SAPBEXexcCritical5 3 4" xfId="15719"/>
    <cellStyle name="SAPBEXexcCritical5 3 4 2" xfId="15720"/>
    <cellStyle name="SAPBEXexcCritical5 3 5" xfId="15721"/>
    <cellStyle name="SAPBEXexcCritical5 3 5 2" xfId="15722"/>
    <cellStyle name="SAPBEXexcCritical5 4" xfId="15723"/>
    <cellStyle name="SAPBEXexcCritical5 4 2" xfId="15724"/>
    <cellStyle name="SAPBEXexcCritical5 5" xfId="15725"/>
    <cellStyle name="SAPBEXexcCritical5 5 2" xfId="15726"/>
    <cellStyle name="SAPBEXexcCritical5 6" xfId="15727"/>
    <cellStyle name="SAPBEXexcCritical5 6 2" xfId="15728"/>
    <cellStyle name="SAPBEXexcCritical5 7" xfId="15729"/>
    <cellStyle name="SAPBEXexcCritical5 7 2" xfId="15730"/>
    <cellStyle name="SAPBEXexcCritical6" xfId="15731"/>
    <cellStyle name="SAPBEXexcCritical6 2" xfId="15732"/>
    <cellStyle name="SAPBEXexcCritical6 2 2" xfId="15733"/>
    <cellStyle name="SAPBEXexcCritical6 2 2 2" xfId="15734"/>
    <cellStyle name="SAPBEXexcCritical6 2 3" xfId="15735"/>
    <cellStyle name="SAPBEXexcCritical6 2 3 2" xfId="15736"/>
    <cellStyle name="SAPBEXexcCritical6 2 4" xfId="15737"/>
    <cellStyle name="SAPBEXexcCritical6 2 4 2" xfId="15738"/>
    <cellStyle name="SAPBEXexcCritical6 2 5" xfId="15739"/>
    <cellStyle name="SAPBEXexcCritical6 2 5 2" xfId="15740"/>
    <cellStyle name="SAPBEXexcCritical6 3" xfId="15741"/>
    <cellStyle name="SAPBEXexcCritical6 3 2" xfId="15742"/>
    <cellStyle name="SAPBEXexcCritical6 3 2 2" xfId="15743"/>
    <cellStyle name="SAPBEXexcCritical6 3 3" xfId="15744"/>
    <cellStyle name="SAPBEXexcCritical6 3 3 2" xfId="15745"/>
    <cellStyle name="SAPBEXexcCritical6 3 4" xfId="15746"/>
    <cellStyle name="SAPBEXexcCritical6 3 4 2" xfId="15747"/>
    <cellStyle name="SAPBEXexcCritical6 3 5" xfId="15748"/>
    <cellStyle name="SAPBEXexcCritical6 3 5 2" xfId="15749"/>
    <cellStyle name="SAPBEXexcCritical6 4" xfId="15750"/>
    <cellStyle name="SAPBEXexcCritical6 4 2" xfId="15751"/>
    <cellStyle name="SAPBEXexcCritical6 5" xfId="15752"/>
    <cellStyle name="SAPBEXexcCritical6 5 2" xfId="15753"/>
    <cellStyle name="SAPBEXexcCritical6 6" xfId="15754"/>
    <cellStyle name="SAPBEXexcCritical6 6 2" xfId="15755"/>
    <cellStyle name="SAPBEXexcCritical6 7" xfId="15756"/>
    <cellStyle name="SAPBEXexcCritical6 7 2" xfId="15757"/>
    <cellStyle name="SAPBEXexcGood1" xfId="2570"/>
    <cellStyle name="SAPBEXexcGood1 10" xfId="15758"/>
    <cellStyle name="SAPBEXexcGood1 10 2" xfId="15759"/>
    <cellStyle name="SAPBEXexcGood1 11" xfId="15760"/>
    <cellStyle name="SAPBEXexcGood1 11 2" xfId="15761"/>
    <cellStyle name="SAPBEXexcGood1 2" xfId="2571"/>
    <cellStyle name="SAPBEXexcGood1 2 2" xfId="2572"/>
    <cellStyle name="SAPBEXexcGood1 2 2 2" xfId="15762"/>
    <cellStyle name="SAPBEXexcGood1 2 2 2 2" xfId="15763"/>
    <cellStyle name="SAPBEXexcGood1 2 2 2 2 2" xfId="15764"/>
    <cellStyle name="SAPBEXexcGood1 2 2 2 3" xfId="15765"/>
    <cellStyle name="SAPBEXexcGood1 2 2 2 3 2" xfId="15766"/>
    <cellStyle name="SAPBEXexcGood1 2 2 2 4" xfId="15767"/>
    <cellStyle name="SAPBEXexcGood1 2 2 2 4 2" xfId="15768"/>
    <cellStyle name="SAPBEXexcGood1 2 2 2 5" xfId="15769"/>
    <cellStyle name="SAPBEXexcGood1 2 2 2 5 2" xfId="15770"/>
    <cellStyle name="SAPBEXexcGood1 2 2 3" xfId="15771"/>
    <cellStyle name="SAPBEXexcGood1 2 2 3 2" xfId="15772"/>
    <cellStyle name="SAPBEXexcGood1 2 2 3 2 2" xfId="15773"/>
    <cellStyle name="SAPBEXexcGood1 2 2 3 3" xfId="15774"/>
    <cellStyle name="SAPBEXexcGood1 2 2 3 3 2" xfId="15775"/>
    <cellStyle name="SAPBEXexcGood1 2 2 3 4" xfId="15776"/>
    <cellStyle name="SAPBEXexcGood1 2 2 3 4 2" xfId="15777"/>
    <cellStyle name="SAPBEXexcGood1 2 2 3 5" xfId="15778"/>
    <cellStyle name="SAPBEXexcGood1 2 2 3 5 2" xfId="15779"/>
    <cellStyle name="SAPBEXexcGood1 2 2 4" xfId="15780"/>
    <cellStyle name="SAPBEXexcGood1 2 2 4 2" xfId="15781"/>
    <cellStyle name="SAPBEXexcGood1 2 2 5" xfId="15782"/>
    <cellStyle name="SAPBEXexcGood1 2 2 5 2" xfId="15783"/>
    <cellStyle name="SAPBEXexcGood1 2 2 6" xfId="15784"/>
    <cellStyle name="SAPBEXexcGood1 2 2 6 2" xfId="15785"/>
    <cellStyle name="SAPBEXexcGood1 2 2 7" xfId="15786"/>
    <cellStyle name="SAPBEXexcGood1 2 2 7 2" xfId="15787"/>
    <cellStyle name="SAPBEXexcGood1 2 3" xfId="15788"/>
    <cellStyle name="SAPBEXexcGood1 2 3 2" xfId="15789"/>
    <cellStyle name="SAPBEXexcGood1 2 3 2 2" xfId="15790"/>
    <cellStyle name="SAPBEXexcGood1 2 3 3" xfId="15791"/>
    <cellStyle name="SAPBEXexcGood1 2 3 3 2" xfId="15792"/>
    <cellStyle name="SAPBEXexcGood1 2 3 4" xfId="15793"/>
    <cellStyle name="SAPBEXexcGood1 2 3 4 2" xfId="15794"/>
    <cellStyle name="SAPBEXexcGood1 2 3 5" xfId="15795"/>
    <cellStyle name="SAPBEXexcGood1 2 3 5 2" xfId="15796"/>
    <cellStyle name="SAPBEXexcGood1 2 4" xfId="15797"/>
    <cellStyle name="SAPBEXexcGood1 2 4 2" xfId="15798"/>
    <cellStyle name="SAPBEXexcGood1 2 4 2 2" xfId="15799"/>
    <cellStyle name="SAPBEXexcGood1 2 4 3" xfId="15800"/>
    <cellStyle name="SAPBEXexcGood1 2 4 3 2" xfId="15801"/>
    <cellStyle name="SAPBEXexcGood1 2 4 4" xfId="15802"/>
    <cellStyle name="SAPBEXexcGood1 2 4 4 2" xfId="15803"/>
    <cellStyle name="SAPBEXexcGood1 2 4 5" xfId="15804"/>
    <cellStyle name="SAPBEXexcGood1 2 4 5 2" xfId="15805"/>
    <cellStyle name="SAPBEXexcGood1 2 5" xfId="15806"/>
    <cellStyle name="SAPBEXexcGood1 2 5 2" xfId="15807"/>
    <cellStyle name="SAPBEXexcGood1 2 6" xfId="15808"/>
    <cellStyle name="SAPBEXexcGood1 2 6 2" xfId="15809"/>
    <cellStyle name="SAPBEXexcGood1 2 7" xfId="15810"/>
    <cellStyle name="SAPBEXexcGood1 2 7 2" xfId="15811"/>
    <cellStyle name="SAPBEXexcGood1 2 8" xfId="15812"/>
    <cellStyle name="SAPBEXexcGood1 2 8 2" xfId="15813"/>
    <cellStyle name="SAPBEXexcGood1 3" xfId="2573"/>
    <cellStyle name="SAPBEXexcGood1 3 2" xfId="2574"/>
    <cellStyle name="SAPBEXexcGood1 3 2 2" xfId="15814"/>
    <cellStyle name="SAPBEXexcGood1 3 2 2 2" xfId="15815"/>
    <cellStyle name="SAPBEXexcGood1 3 2 2 2 2" xfId="15816"/>
    <cellStyle name="SAPBEXexcGood1 3 2 2 3" xfId="15817"/>
    <cellStyle name="SAPBEXexcGood1 3 2 2 3 2" xfId="15818"/>
    <cellStyle name="SAPBEXexcGood1 3 2 2 4" xfId="15819"/>
    <cellStyle name="SAPBEXexcGood1 3 2 2 4 2" xfId="15820"/>
    <cellStyle name="SAPBEXexcGood1 3 2 2 5" xfId="15821"/>
    <cellStyle name="SAPBEXexcGood1 3 2 2 5 2" xfId="15822"/>
    <cellStyle name="SAPBEXexcGood1 3 2 3" xfId="15823"/>
    <cellStyle name="SAPBEXexcGood1 3 2 3 2" xfId="15824"/>
    <cellStyle name="SAPBEXexcGood1 3 2 3 2 2" xfId="15825"/>
    <cellStyle name="SAPBEXexcGood1 3 2 3 3" xfId="15826"/>
    <cellStyle name="SAPBEXexcGood1 3 2 3 3 2" xfId="15827"/>
    <cellStyle name="SAPBEXexcGood1 3 2 3 4" xfId="15828"/>
    <cellStyle name="SAPBEXexcGood1 3 2 3 4 2" xfId="15829"/>
    <cellStyle name="SAPBEXexcGood1 3 2 3 5" xfId="15830"/>
    <cellStyle name="SAPBEXexcGood1 3 2 3 5 2" xfId="15831"/>
    <cellStyle name="SAPBEXexcGood1 3 2 4" xfId="15832"/>
    <cellStyle name="SAPBEXexcGood1 3 2 4 2" xfId="15833"/>
    <cellStyle name="SAPBEXexcGood1 3 2 5" xfId="15834"/>
    <cellStyle name="SAPBEXexcGood1 3 2 5 2" xfId="15835"/>
    <cellStyle name="SAPBEXexcGood1 3 2 6" xfId="15836"/>
    <cellStyle name="SAPBEXexcGood1 3 2 6 2" xfId="15837"/>
    <cellStyle name="SAPBEXexcGood1 3 2 7" xfId="15838"/>
    <cellStyle name="SAPBEXexcGood1 3 2 7 2" xfId="15839"/>
    <cellStyle name="SAPBEXexcGood1 3 3" xfId="15840"/>
    <cellStyle name="SAPBEXexcGood1 3 3 2" xfId="15841"/>
    <cellStyle name="SAPBEXexcGood1 3 3 2 2" xfId="15842"/>
    <cellStyle name="SAPBEXexcGood1 3 3 3" xfId="15843"/>
    <cellStyle name="SAPBEXexcGood1 3 3 3 2" xfId="15844"/>
    <cellStyle name="SAPBEXexcGood1 3 3 4" xfId="15845"/>
    <cellStyle name="SAPBEXexcGood1 3 3 4 2" xfId="15846"/>
    <cellStyle name="SAPBEXexcGood1 3 3 5" xfId="15847"/>
    <cellStyle name="SAPBEXexcGood1 3 3 5 2" xfId="15848"/>
    <cellStyle name="SAPBEXexcGood1 3 4" xfId="15849"/>
    <cellStyle name="SAPBEXexcGood1 3 4 2" xfId="15850"/>
    <cellStyle name="SAPBEXexcGood1 3 4 2 2" xfId="15851"/>
    <cellStyle name="SAPBEXexcGood1 3 4 3" xfId="15852"/>
    <cellStyle name="SAPBEXexcGood1 3 4 3 2" xfId="15853"/>
    <cellStyle name="SAPBEXexcGood1 3 4 4" xfId="15854"/>
    <cellStyle name="SAPBEXexcGood1 3 4 4 2" xfId="15855"/>
    <cellStyle name="SAPBEXexcGood1 3 4 5" xfId="15856"/>
    <cellStyle name="SAPBEXexcGood1 3 4 5 2" xfId="15857"/>
    <cellStyle name="SAPBEXexcGood1 3 5" xfId="15858"/>
    <cellStyle name="SAPBEXexcGood1 3 5 2" xfId="15859"/>
    <cellStyle name="SAPBEXexcGood1 3 6" xfId="15860"/>
    <cellStyle name="SAPBEXexcGood1 3 6 2" xfId="15861"/>
    <cellStyle name="SAPBEXexcGood1 3 7" xfId="15862"/>
    <cellStyle name="SAPBEXexcGood1 3 7 2" xfId="15863"/>
    <cellStyle name="SAPBEXexcGood1 3 8" xfId="15864"/>
    <cellStyle name="SAPBEXexcGood1 3 8 2" xfId="15865"/>
    <cellStyle name="SAPBEXexcGood1 4" xfId="2575"/>
    <cellStyle name="SAPBEXexcGood1 4 2" xfId="2576"/>
    <cellStyle name="SAPBEXexcGood1 4 2 2" xfId="15866"/>
    <cellStyle name="SAPBEXexcGood1 4 2 2 2" xfId="15867"/>
    <cellStyle name="SAPBEXexcGood1 4 2 2 2 2" xfId="15868"/>
    <cellStyle name="SAPBEXexcGood1 4 2 2 3" xfId="15869"/>
    <cellStyle name="SAPBEXexcGood1 4 2 2 3 2" xfId="15870"/>
    <cellStyle name="SAPBEXexcGood1 4 2 2 4" xfId="15871"/>
    <cellStyle name="SAPBEXexcGood1 4 2 2 4 2" xfId="15872"/>
    <cellStyle name="SAPBEXexcGood1 4 2 2 5" xfId="15873"/>
    <cellStyle name="SAPBEXexcGood1 4 2 2 5 2" xfId="15874"/>
    <cellStyle name="SAPBEXexcGood1 4 2 3" xfId="15875"/>
    <cellStyle name="SAPBEXexcGood1 4 2 3 2" xfId="15876"/>
    <cellStyle name="SAPBEXexcGood1 4 2 3 2 2" xfId="15877"/>
    <cellStyle name="SAPBEXexcGood1 4 2 3 3" xfId="15878"/>
    <cellStyle name="SAPBEXexcGood1 4 2 3 3 2" xfId="15879"/>
    <cellStyle name="SAPBEXexcGood1 4 2 3 4" xfId="15880"/>
    <cellStyle name="SAPBEXexcGood1 4 2 3 4 2" xfId="15881"/>
    <cellStyle name="SAPBEXexcGood1 4 2 3 5" xfId="15882"/>
    <cellStyle name="SAPBEXexcGood1 4 2 3 5 2" xfId="15883"/>
    <cellStyle name="SAPBEXexcGood1 4 2 4" xfId="15884"/>
    <cellStyle name="SAPBEXexcGood1 4 2 4 2" xfId="15885"/>
    <cellStyle name="SAPBEXexcGood1 4 2 5" xfId="15886"/>
    <cellStyle name="SAPBEXexcGood1 4 2 5 2" xfId="15887"/>
    <cellStyle name="SAPBEXexcGood1 4 2 6" xfId="15888"/>
    <cellStyle name="SAPBEXexcGood1 4 2 6 2" xfId="15889"/>
    <cellStyle name="SAPBEXexcGood1 4 2 7" xfId="15890"/>
    <cellStyle name="SAPBEXexcGood1 4 2 7 2" xfId="15891"/>
    <cellStyle name="SAPBEXexcGood1 4 3" xfId="15892"/>
    <cellStyle name="SAPBEXexcGood1 4 3 2" xfId="15893"/>
    <cellStyle name="SAPBEXexcGood1 4 3 2 2" xfId="15894"/>
    <cellStyle name="SAPBEXexcGood1 4 3 3" xfId="15895"/>
    <cellStyle name="SAPBEXexcGood1 4 3 3 2" xfId="15896"/>
    <cellStyle name="SAPBEXexcGood1 4 3 4" xfId="15897"/>
    <cellStyle name="SAPBEXexcGood1 4 3 4 2" xfId="15898"/>
    <cellStyle name="SAPBEXexcGood1 4 3 5" xfId="15899"/>
    <cellStyle name="SAPBEXexcGood1 4 3 5 2" xfId="15900"/>
    <cellStyle name="SAPBEXexcGood1 4 4" xfId="15901"/>
    <cellStyle name="SAPBEXexcGood1 4 4 2" xfId="15902"/>
    <cellStyle name="SAPBEXexcGood1 4 4 2 2" xfId="15903"/>
    <cellStyle name="SAPBEXexcGood1 4 4 3" xfId="15904"/>
    <cellStyle name="SAPBEXexcGood1 4 4 3 2" xfId="15905"/>
    <cellStyle name="SAPBEXexcGood1 4 4 4" xfId="15906"/>
    <cellStyle name="SAPBEXexcGood1 4 4 4 2" xfId="15907"/>
    <cellStyle name="SAPBEXexcGood1 4 4 5" xfId="15908"/>
    <cellStyle name="SAPBEXexcGood1 4 4 5 2" xfId="15909"/>
    <cellStyle name="SAPBEXexcGood1 4 5" xfId="15910"/>
    <cellStyle name="SAPBEXexcGood1 4 5 2" xfId="15911"/>
    <cellStyle name="SAPBEXexcGood1 4 6" xfId="15912"/>
    <cellStyle name="SAPBEXexcGood1 4 6 2" xfId="15913"/>
    <cellStyle name="SAPBEXexcGood1 4 7" xfId="15914"/>
    <cellStyle name="SAPBEXexcGood1 4 7 2" xfId="15915"/>
    <cellStyle name="SAPBEXexcGood1 4 8" xfId="15916"/>
    <cellStyle name="SAPBEXexcGood1 4 8 2" xfId="15917"/>
    <cellStyle name="SAPBEXexcGood1 5" xfId="2577"/>
    <cellStyle name="SAPBEXexcGood1 5 2" xfId="15918"/>
    <cellStyle name="SAPBEXexcGood1 5 2 2" xfId="15919"/>
    <cellStyle name="SAPBEXexcGood1 5 2 2 2" xfId="15920"/>
    <cellStyle name="SAPBEXexcGood1 5 2 3" xfId="15921"/>
    <cellStyle name="SAPBEXexcGood1 5 2 3 2" xfId="15922"/>
    <cellStyle name="SAPBEXexcGood1 5 2 4" xfId="15923"/>
    <cellStyle name="SAPBEXexcGood1 5 2 4 2" xfId="15924"/>
    <cellStyle name="SAPBEXexcGood1 5 2 5" xfId="15925"/>
    <cellStyle name="SAPBEXexcGood1 5 2 5 2" xfId="15926"/>
    <cellStyle name="SAPBEXexcGood1 5 3" xfId="15927"/>
    <cellStyle name="SAPBEXexcGood1 5 3 2" xfId="15928"/>
    <cellStyle name="SAPBEXexcGood1 5 3 2 2" xfId="15929"/>
    <cellStyle name="SAPBEXexcGood1 5 3 3" xfId="15930"/>
    <cellStyle name="SAPBEXexcGood1 5 3 3 2" xfId="15931"/>
    <cellStyle name="SAPBEXexcGood1 5 3 4" xfId="15932"/>
    <cellStyle name="SAPBEXexcGood1 5 3 4 2" xfId="15933"/>
    <cellStyle name="SAPBEXexcGood1 5 3 5" xfId="15934"/>
    <cellStyle name="SAPBEXexcGood1 5 3 5 2" xfId="15935"/>
    <cellStyle name="SAPBEXexcGood1 5 4" xfId="15936"/>
    <cellStyle name="SAPBEXexcGood1 5 4 2" xfId="15937"/>
    <cellStyle name="SAPBEXexcGood1 5 5" xfId="15938"/>
    <cellStyle name="SAPBEXexcGood1 5 5 2" xfId="15939"/>
    <cellStyle name="SAPBEXexcGood1 5 6" xfId="15940"/>
    <cellStyle name="SAPBEXexcGood1 5 6 2" xfId="15941"/>
    <cellStyle name="SAPBEXexcGood1 5 7" xfId="15942"/>
    <cellStyle name="SAPBEXexcGood1 5 7 2" xfId="15943"/>
    <cellStyle name="SAPBEXexcGood1 6" xfId="15944"/>
    <cellStyle name="SAPBEXexcGood1 6 2" xfId="15945"/>
    <cellStyle name="SAPBEXexcGood1 6 2 2" xfId="15946"/>
    <cellStyle name="SAPBEXexcGood1 6 3" xfId="15947"/>
    <cellStyle name="SAPBEXexcGood1 6 3 2" xfId="15948"/>
    <cellStyle name="SAPBEXexcGood1 6 4" xfId="15949"/>
    <cellStyle name="SAPBEXexcGood1 6 4 2" xfId="15950"/>
    <cellStyle name="SAPBEXexcGood1 6 5" xfId="15951"/>
    <cellStyle name="SAPBEXexcGood1 6 5 2" xfId="15952"/>
    <cellStyle name="SAPBEXexcGood1 7" xfId="15953"/>
    <cellStyle name="SAPBEXexcGood1 7 2" xfId="15954"/>
    <cellStyle name="SAPBEXexcGood1 7 2 2" xfId="15955"/>
    <cellStyle name="SAPBEXexcGood1 7 3" xfId="15956"/>
    <cellStyle name="SAPBEXexcGood1 7 3 2" xfId="15957"/>
    <cellStyle name="SAPBEXexcGood1 7 4" xfId="15958"/>
    <cellStyle name="SAPBEXexcGood1 7 4 2" xfId="15959"/>
    <cellStyle name="SAPBEXexcGood1 7 5" xfId="15960"/>
    <cellStyle name="SAPBEXexcGood1 7 5 2" xfId="15961"/>
    <cellStyle name="SAPBEXexcGood1 8" xfId="15962"/>
    <cellStyle name="SAPBEXexcGood1 8 2" xfId="15963"/>
    <cellStyle name="SAPBEXexcGood1 9" xfId="15964"/>
    <cellStyle name="SAPBEXexcGood1 9 2" xfId="15965"/>
    <cellStyle name="SAPBEXexcGood2" xfId="15966"/>
    <cellStyle name="SAPBEXexcGood2 2" xfId="15967"/>
    <cellStyle name="SAPBEXexcGood2 2 2" xfId="15968"/>
    <cellStyle name="SAPBEXexcGood2 2 2 2" xfId="15969"/>
    <cellStyle name="SAPBEXexcGood2 2 3" xfId="15970"/>
    <cellStyle name="SAPBEXexcGood2 2 3 2" xfId="15971"/>
    <cellStyle name="SAPBEXexcGood2 2 4" xfId="15972"/>
    <cellStyle name="SAPBEXexcGood2 2 4 2" xfId="15973"/>
    <cellStyle name="SAPBEXexcGood2 2 5" xfId="15974"/>
    <cellStyle name="SAPBEXexcGood2 2 5 2" xfId="15975"/>
    <cellStyle name="SAPBEXexcGood2 3" xfId="15976"/>
    <cellStyle name="SAPBEXexcGood2 3 2" xfId="15977"/>
    <cellStyle name="SAPBEXexcGood2 3 2 2" xfId="15978"/>
    <cellStyle name="SAPBEXexcGood2 3 3" xfId="15979"/>
    <cellStyle name="SAPBEXexcGood2 3 3 2" xfId="15980"/>
    <cellStyle name="SAPBEXexcGood2 3 4" xfId="15981"/>
    <cellStyle name="SAPBEXexcGood2 3 4 2" xfId="15982"/>
    <cellStyle name="SAPBEXexcGood2 3 5" xfId="15983"/>
    <cellStyle name="SAPBEXexcGood2 3 5 2" xfId="15984"/>
    <cellStyle name="SAPBEXexcGood2 4" xfId="15985"/>
    <cellStyle name="SAPBEXexcGood2 4 2" xfId="15986"/>
    <cellStyle name="SAPBEXexcGood2 5" xfId="15987"/>
    <cellStyle name="SAPBEXexcGood2 5 2" xfId="15988"/>
    <cellStyle name="SAPBEXexcGood2 6" xfId="15989"/>
    <cellStyle name="SAPBEXexcGood2 6 2" xfId="15990"/>
    <cellStyle name="SAPBEXexcGood2 7" xfId="15991"/>
    <cellStyle name="SAPBEXexcGood2 7 2" xfId="15992"/>
    <cellStyle name="SAPBEXexcGood3" xfId="15993"/>
    <cellStyle name="SAPBEXexcGood3 2" xfId="15994"/>
    <cellStyle name="SAPBEXexcGood3 2 2" xfId="15995"/>
    <cellStyle name="SAPBEXexcGood3 2 2 2" xfId="15996"/>
    <cellStyle name="SAPBEXexcGood3 2 3" xfId="15997"/>
    <cellStyle name="SAPBEXexcGood3 2 3 2" xfId="15998"/>
    <cellStyle name="SAPBEXexcGood3 2 4" xfId="15999"/>
    <cellStyle name="SAPBEXexcGood3 2 4 2" xfId="16000"/>
    <cellStyle name="SAPBEXexcGood3 2 5" xfId="16001"/>
    <cellStyle name="SAPBEXexcGood3 2 5 2" xfId="16002"/>
    <cellStyle name="SAPBEXexcGood3 3" xfId="16003"/>
    <cellStyle name="SAPBEXexcGood3 3 2" xfId="16004"/>
    <cellStyle name="SAPBEXexcGood3 3 2 2" xfId="16005"/>
    <cellStyle name="SAPBEXexcGood3 3 3" xfId="16006"/>
    <cellStyle name="SAPBEXexcGood3 3 3 2" xfId="16007"/>
    <cellStyle name="SAPBEXexcGood3 3 4" xfId="16008"/>
    <cellStyle name="SAPBEXexcGood3 3 4 2" xfId="16009"/>
    <cellStyle name="SAPBEXexcGood3 3 5" xfId="16010"/>
    <cellStyle name="SAPBEXexcGood3 3 5 2" xfId="16011"/>
    <cellStyle name="SAPBEXexcGood3 4" xfId="16012"/>
    <cellStyle name="SAPBEXexcGood3 4 2" xfId="16013"/>
    <cellStyle name="SAPBEXexcGood3 5" xfId="16014"/>
    <cellStyle name="SAPBEXexcGood3 5 2" xfId="16015"/>
    <cellStyle name="SAPBEXexcGood3 6" xfId="16016"/>
    <cellStyle name="SAPBEXexcGood3 6 2" xfId="16017"/>
    <cellStyle name="SAPBEXexcGood3 7" xfId="16018"/>
    <cellStyle name="SAPBEXexcGood3 7 2" xfId="16019"/>
    <cellStyle name="SAPBEXfilterDrill" xfId="16020"/>
    <cellStyle name="SAPBEXfilterItem" xfId="16021"/>
    <cellStyle name="SAPBEXfilterText" xfId="16022"/>
    <cellStyle name="SAPBEXformats" xfId="16023"/>
    <cellStyle name="SAPBEXformats 2" xfId="16024"/>
    <cellStyle name="SAPBEXformats 2 2" xfId="16025"/>
    <cellStyle name="SAPBEXformats 2 2 2" xfId="16026"/>
    <cellStyle name="SAPBEXformats 2 3" xfId="16027"/>
    <cellStyle name="SAPBEXformats 2 3 2" xfId="16028"/>
    <cellStyle name="SAPBEXformats 2 4" xfId="16029"/>
    <cellStyle name="SAPBEXformats 2 4 2" xfId="16030"/>
    <cellStyle name="SAPBEXformats 2 5" xfId="16031"/>
    <cellStyle name="SAPBEXformats 2 5 2" xfId="16032"/>
    <cellStyle name="SAPBEXformats 3" xfId="16033"/>
    <cellStyle name="SAPBEXformats 3 2" xfId="16034"/>
    <cellStyle name="SAPBEXformats 3 2 2" xfId="16035"/>
    <cellStyle name="SAPBEXformats 3 3" xfId="16036"/>
    <cellStyle name="SAPBEXformats 3 3 2" xfId="16037"/>
    <cellStyle name="SAPBEXformats 3 4" xfId="16038"/>
    <cellStyle name="SAPBEXformats 3 4 2" xfId="16039"/>
    <cellStyle name="SAPBEXformats 3 5" xfId="16040"/>
    <cellStyle name="SAPBEXformats 3 5 2" xfId="16041"/>
    <cellStyle name="SAPBEXformats 4" xfId="16042"/>
    <cellStyle name="SAPBEXformats 4 2" xfId="16043"/>
    <cellStyle name="SAPBEXformats 5" xfId="16044"/>
    <cellStyle name="SAPBEXformats 5 2" xfId="16045"/>
    <cellStyle name="SAPBEXformats 6" xfId="16046"/>
    <cellStyle name="SAPBEXformats 6 2" xfId="16047"/>
    <cellStyle name="SAPBEXformats 7" xfId="16048"/>
    <cellStyle name="SAPBEXformats 7 2" xfId="16049"/>
    <cellStyle name="SAPBEXheaderItem" xfId="16050"/>
    <cellStyle name="SAPBEXheaderText" xfId="16051"/>
    <cellStyle name="SAPBEXHLevel0" xfId="16052"/>
    <cellStyle name="SAPBEXHLevel0 2" xfId="16053"/>
    <cellStyle name="SAPBEXHLevel0 2 2" xfId="16054"/>
    <cellStyle name="SAPBEXHLevel0 2 2 2" xfId="16055"/>
    <cellStyle name="SAPBEXHLevel0 2 3" xfId="16056"/>
    <cellStyle name="SAPBEXHLevel0 2 3 2" xfId="16057"/>
    <cellStyle name="SAPBEXHLevel0 2 4" xfId="16058"/>
    <cellStyle name="SAPBEXHLevel0 2 4 2" xfId="16059"/>
    <cellStyle name="SAPBEXHLevel0 2 5" xfId="16060"/>
    <cellStyle name="SAPBEXHLevel0 2 5 2" xfId="16061"/>
    <cellStyle name="SAPBEXHLevel0 3" xfId="16062"/>
    <cellStyle name="SAPBEXHLevel0 3 2" xfId="16063"/>
    <cellStyle name="SAPBEXHLevel0 3 2 2" xfId="16064"/>
    <cellStyle name="SAPBEXHLevel0 3 3" xfId="16065"/>
    <cellStyle name="SAPBEXHLevel0 3 3 2" xfId="16066"/>
    <cellStyle name="SAPBEXHLevel0 3 4" xfId="16067"/>
    <cellStyle name="SAPBEXHLevel0 3 4 2" xfId="16068"/>
    <cellStyle name="SAPBEXHLevel0 3 5" xfId="16069"/>
    <cellStyle name="SAPBEXHLevel0 3 5 2" xfId="16070"/>
    <cellStyle name="SAPBEXHLevel0 4" xfId="16071"/>
    <cellStyle name="SAPBEXHLevel0 4 2" xfId="16072"/>
    <cellStyle name="SAPBEXHLevel0 5" xfId="16073"/>
    <cellStyle name="SAPBEXHLevel0 5 2" xfId="16074"/>
    <cellStyle name="SAPBEXHLevel0 6" xfId="16075"/>
    <cellStyle name="SAPBEXHLevel0 6 2" xfId="16076"/>
    <cellStyle name="SAPBEXHLevel0 7" xfId="16077"/>
    <cellStyle name="SAPBEXHLevel0 7 2" xfId="16078"/>
    <cellStyle name="SAPBEXHLevel0X" xfId="16079"/>
    <cellStyle name="SAPBEXHLevel0X 2" xfId="16080"/>
    <cellStyle name="SAPBEXHLevel0X 2 2" xfId="16081"/>
    <cellStyle name="SAPBEXHLevel0X 2 2 2" xfId="16082"/>
    <cellStyle name="SAPBEXHLevel0X 2 3" xfId="16083"/>
    <cellStyle name="SAPBEXHLevel0X 2 3 2" xfId="16084"/>
    <cellStyle name="SAPBEXHLevel0X 2 4" xfId="16085"/>
    <cellStyle name="SAPBEXHLevel0X 2 4 2" xfId="16086"/>
    <cellStyle name="SAPBEXHLevel0X 2 5" xfId="16087"/>
    <cellStyle name="SAPBEXHLevel0X 2 5 2" xfId="16088"/>
    <cellStyle name="SAPBEXHLevel0X 3" xfId="16089"/>
    <cellStyle name="SAPBEXHLevel0X 3 2" xfId="16090"/>
    <cellStyle name="SAPBEXHLevel0X 3 2 2" xfId="16091"/>
    <cellStyle name="SAPBEXHLevel0X 3 3" xfId="16092"/>
    <cellStyle name="SAPBEXHLevel0X 3 3 2" xfId="16093"/>
    <cellStyle name="SAPBEXHLevel0X 3 4" xfId="16094"/>
    <cellStyle name="SAPBEXHLevel0X 3 4 2" xfId="16095"/>
    <cellStyle name="SAPBEXHLevel0X 3 5" xfId="16096"/>
    <cellStyle name="SAPBEXHLevel0X 3 5 2" xfId="16097"/>
    <cellStyle name="SAPBEXHLevel0X 4" xfId="16098"/>
    <cellStyle name="SAPBEXHLevel0X 4 2" xfId="16099"/>
    <cellStyle name="SAPBEXHLevel0X 4 2 2" xfId="16100"/>
    <cellStyle name="SAPBEXHLevel0X 4 3" xfId="16101"/>
    <cellStyle name="SAPBEXHLevel0X 4 3 2" xfId="16102"/>
    <cellStyle name="SAPBEXHLevel0X 4 4" xfId="16103"/>
    <cellStyle name="SAPBEXHLevel0X 4 4 2" xfId="16104"/>
    <cellStyle name="SAPBEXHLevel0X 4 5" xfId="16105"/>
    <cellStyle name="SAPBEXHLevel0X 4 5 2" xfId="16106"/>
    <cellStyle name="SAPBEXHLevel0X 5" xfId="16107"/>
    <cellStyle name="SAPBEXHLevel0X 5 2" xfId="16108"/>
    <cellStyle name="SAPBEXHLevel0X 6" xfId="16109"/>
    <cellStyle name="SAPBEXHLevel0X 6 2" xfId="16110"/>
    <cellStyle name="SAPBEXHLevel0X 7" xfId="16111"/>
    <cellStyle name="SAPBEXHLevel0X 7 2" xfId="16112"/>
    <cellStyle name="SAPBEXHLevel0X 8" xfId="16113"/>
    <cellStyle name="SAPBEXHLevel0X 8 2" xfId="16114"/>
    <cellStyle name="SAPBEXHLevel1" xfId="16115"/>
    <cellStyle name="SAPBEXHLevel1 2" xfId="16116"/>
    <cellStyle name="SAPBEXHLevel1 2 2" xfId="16117"/>
    <cellStyle name="SAPBEXHLevel1 2 2 2" xfId="16118"/>
    <cellStyle name="SAPBEXHLevel1 2 3" xfId="16119"/>
    <cellStyle name="SAPBEXHLevel1 2 3 2" xfId="16120"/>
    <cellStyle name="SAPBEXHLevel1 2 4" xfId="16121"/>
    <cellStyle name="SAPBEXHLevel1 2 4 2" xfId="16122"/>
    <cellStyle name="SAPBEXHLevel1 2 5" xfId="16123"/>
    <cellStyle name="SAPBEXHLevel1 2 5 2" xfId="16124"/>
    <cellStyle name="SAPBEXHLevel1 3" xfId="16125"/>
    <cellStyle name="SAPBEXHLevel1 3 2" xfId="16126"/>
    <cellStyle name="SAPBEXHLevel1 3 2 2" xfId="16127"/>
    <cellStyle name="SAPBEXHLevel1 3 3" xfId="16128"/>
    <cellStyle name="SAPBEXHLevel1 3 3 2" xfId="16129"/>
    <cellStyle name="SAPBEXHLevel1 3 4" xfId="16130"/>
    <cellStyle name="SAPBEXHLevel1 3 4 2" xfId="16131"/>
    <cellStyle name="SAPBEXHLevel1 3 5" xfId="16132"/>
    <cellStyle name="SAPBEXHLevel1 3 5 2" xfId="16133"/>
    <cellStyle name="SAPBEXHLevel1 4" xfId="16134"/>
    <cellStyle name="SAPBEXHLevel1 4 2" xfId="16135"/>
    <cellStyle name="SAPBEXHLevel1 5" xfId="16136"/>
    <cellStyle name="SAPBEXHLevel1 5 2" xfId="16137"/>
    <cellStyle name="SAPBEXHLevel1 6" xfId="16138"/>
    <cellStyle name="SAPBEXHLevel1 6 2" xfId="16139"/>
    <cellStyle name="SAPBEXHLevel1 7" xfId="16140"/>
    <cellStyle name="SAPBEXHLevel1 7 2" xfId="16141"/>
    <cellStyle name="SAPBEXHLevel1X" xfId="16142"/>
    <cellStyle name="SAPBEXHLevel1X 2" xfId="16143"/>
    <cellStyle name="SAPBEXHLevel1X 2 2" xfId="16144"/>
    <cellStyle name="SAPBEXHLevel1X 2 2 2" xfId="16145"/>
    <cellStyle name="SAPBEXHLevel1X 2 2 2 2" xfId="16146"/>
    <cellStyle name="SAPBEXHLevel1X 2 2 3" xfId="16147"/>
    <cellStyle name="SAPBEXHLevel1X 2 2 3 2" xfId="16148"/>
    <cellStyle name="SAPBEXHLevel1X 2 2 4" xfId="16149"/>
    <cellStyle name="SAPBEXHLevel1X 2 2 4 2" xfId="16150"/>
    <cellStyle name="SAPBEXHLevel1X 2 2 5" xfId="16151"/>
    <cellStyle name="SAPBEXHLevel1X 2 2 5 2" xfId="16152"/>
    <cellStyle name="SAPBEXHLevel1X 2 3" xfId="16153"/>
    <cellStyle name="SAPBEXHLevel1X 2 3 2" xfId="16154"/>
    <cellStyle name="SAPBEXHLevel1X 2 4" xfId="16155"/>
    <cellStyle name="SAPBEXHLevel1X 2 4 2" xfId="16156"/>
    <cellStyle name="SAPBEXHLevel1X 2 5" xfId="16157"/>
    <cellStyle name="SAPBEXHLevel1X 2 5 2" xfId="16158"/>
    <cellStyle name="SAPBEXHLevel1X 2 6" xfId="16159"/>
    <cellStyle name="SAPBEXHLevel1X 2 6 2" xfId="16160"/>
    <cellStyle name="SAPBEXHLevel1X 3" xfId="16161"/>
    <cellStyle name="SAPBEXHLevel1X 3 2" xfId="16162"/>
    <cellStyle name="SAPBEXHLevel1X 3 2 2" xfId="16163"/>
    <cellStyle name="SAPBEXHLevel1X 3 2 2 2" xfId="16164"/>
    <cellStyle name="SAPBEXHLevel1X 3 2 3" xfId="16165"/>
    <cellStyle name="SAPBEXHLevel1X 3 2 3 2" xfId="16166"/>
    <cellStyle name="SAPBEXHLevel1X 3 2 4" xfId="16167"/>
    <cellStyle name="SAPBEXHLevel1X 3 2 4 2" xfId="16168"/>
    <cellStyle name="SAPBEXHLevel1X 3 2 5" xfId="16169"/>
    <cellStyle name="SAPBEXHLevel1X 3 2 5 2" xfId="16170"/>
    <cellStyle name="SAPBEXHLevel1X 3 3" xfId="16171"/>
    <cellStyle name="SAPBEXHLevel1X 3 3 2" xfId="16172"/>
    <cellStyle name="SAPBEXHLevel1X 3 4" xfId="16173"/>
    <cellStyle name="SAPBEXHLevel1X 3 4 2" xfId="16174"/>
    <cellStyle name="SAPBEXHLevel1X 3 5" xfId="16175"/>
    <cellStyle name="SAPBEXHLevel1X 3 5 2" xfId="16176"/>
    <cellStyle name="SAPBEXHLevel1X 3 6" xfId="16177"/>
    <cellStyle name="SAPBEXHLevel1X 3 6 2" xfId="16178"/>
    <cellStyle name="SAPBEXHLevel1X 4" xfId="16179"/>
    <cellStyle name="SAPBEXHLevel1X 4 2" xfId="16180"/>
    <cellStyle name="SAPBEXHLevel1X 4 2 2" xfId="16181"/>
    <cellStyle name="SAPBEXHLevel1X 4 3" xfId="16182"/>
    <cellStyle name="SAPBEXHLevel1X 4 3 2" xfId="16183"/>
    <cellStyle name="SAPBEXHLevel1X 4 4" xfId="16184"/>
    <cellStyle name="SAPBEXHLevel1X 4 4 2" xfId="16185"/>
    <cellStyle name="SAPBEXHLevel1X 4 5" xfId="16186"/>
    <cellStyle name="SAPBEXHLevel1X 4 5 2" xfId="16187"/>
    <cellStyle name="SAPBEXHLevel1X 5" xfId="16188"/>
    <cellStyle name="SAPBEXHLevel1X 5 2" xfId="16189"/>
    <cellStyle name="SAPBEXHLevel1X 5 2 2" xfId="16190"/>
    <cellStyle name="SAPBEXHLevel1X 5 3" xfId="16191"/>
    <cellStyle name="SAPBEXHLevel1X 5 3 2" xfId="16192"/>
    <cellStyle name="SAPBEXHLevel1X 5 4" xfId="16193"/>
    <cellStyle name="SAPBEXHLevel1X 5 4 2" xfId="16194"/>
    <cellStyle name="SAPBEXHLevel1X 5 5" xfId="16195"/>
    <cellStyle name="SAPBEXHLevel1X 5 5 2" xfId="16196"/>
    <cellStyle name="SAPBEXHLevel1X 6" xfId="16197"/>
    <cellStyle name="SAPBEXHLevel1X 6 2" xfId="16198"/>
    <cellStyle name="SAPBEXHLevel1X 7" xfId="16199"/>
    <cellStyle name="SAPBEXHLevel1X 7 2" xfId="16200"/>
    <cellStyle name="SAPBEXHLevel1X 8" xfId="16201"/>
    <cellStyle name="SAPBEXHLevel1X 8 2" xfId="16202"/>
    <cellStyle name="SAPBEXHLevel1X 9" xfId="16203"/>
    <cellStyle name="SAPBEXHLevel1X 9 2" xfId="16204"/>
    <cellStyle name="SAPBEXHLevel2" xfId="16205"/>
    <cellStyle name="SAPBEXHLevel2 2" xfId="16206"/>
    <cellStyle name="SAPBEXHLevel2 2 2" xfId="16207"/>
    <cellStyle name="SAPBEXHLevel2 2 2 2" xfId="16208"/>
    <cellStyle name="SAPBEXHLevel2 2 3" xfId="16209"/>
    <cellStyle name="SAPBEXHLevel2 2 3 2" xfId="16210"/>
    <cellStyle name="SAPBEXHLevel2 2 4" xfId="16211"/>
    <cellStyle name="SAPBEXHLevel2 2 4 2" xfId="16212"/>
    <cellStyle name="SAPBEXHLevel2 2 5" xfId="16213"/>
    <cellStyle name="SAPBEXHLevel2 2 5 2" xfId="16214"/>
    <cellStyle name="SAPBEXHLevel2 3" xfId="16215"/>
    <cellStyle name="SAPBEXHLevel2 3 2" xfId="16216"/>
    <cellStyle name="SAPBEXHLevel2 3 2 2" xfId="16217"/>
    <cellStyle name="SAPBEXHLevel2 3 3" xfId="16218"/>
    <cellStyle name="SAPBEXHLevel2 3 3 2" xfId="16219"/>
    <cellStyle name="SAPBEXHLevel2 3 4" xfId="16220"/>
    <cellStyle name="SAPBEXHLevel2 3 4 2" xfId="16221"/>
    <cellStyle name="SAPBEXHLevel2 3 5" xfId="16222"/>
    <cellStyle name="SAPBEXHLevel2 3 5 2" xfId="16223"/>
    <cellStyle name="SAPBEXHLevel2 4" xfId="16224"/>
    <cellStyle name="SAPBEXHLevel2 4 2" xfId="16225"/>
    <cellStyle name="SAPBEXHLevel2 5" xfId="16226"/>
    <cellStyle name="SAPBEXHLevel2 5 2" xfId="16227"/>
    <cellStyle name="SAPBEXHLevel2 6" xfId="16228"/>
    <cellStyle name="SAPBEXHLevel2 6 2" xfId="16229"/>
    <cellStyle name="SAPBEXHLevel2 7" xfId="16230"/>
    <cellStyle name="SAPBEXHLevel2 7 2" xfId="16231"/>
    <cellStyle name="SAPBEXHLevel2X" xfId="16232"/>
    <cellStyle name="SAPBEXHLevel2X 2" xfId="16233"/>
    <cellStyle name="SAPBEXHLevel2X 2 2" xfId="16234"/>
    <cellStyle name="SAPBEXHLevel2X 2 2 2" xfId="16235"/>
    <cellStyle name="SAPBEXHLevel2X 2 2 2 2" xfId="16236"/>
    <cellStyle name="SAPBEXHLevel2X 2 2 3" xfId="16237"/>
    <cellStyle name="SAPBEXHLevel2X 2 2 3 2" xfId="16238"/>
    <cellStyle name="SAPBEXHLevel2X 2 2 4" xfId="16239"/>
    <cellStyle name="SAPBEXHLevel2X 2 2 4 2" xfId="16240"/>
    <cellStyle name="SAPBEXHLevel2X 2 2 5" xfId="16241"/>
    <cellStyle name="SAPBEXHLevel2X 2 2 5 2" xfId="16242"/>
    <cellStyle name="SAPBEXHLevel2X 2 3" xfId="16243"/>
    <cellStyle name="SAPBEXHLevel2X 2 3 2" xfId="16244"/>
    <cellStyle name="SAPBEXHLevel2X 2 4" xfId="16245"/>
    <cellStyle name="SAPBEXHLevel2X 2 4 2" xfId="16246"/>
    <cellStyle name="SAPBEXHLevel2X 2 5" xfId="16247"/>
    <cellStyle name="SAPBEXHLevel2X 2 5 2" xfId="16248"/>
    <cellStyle name="SAPBEXHLevel2X 2 6" xfId="16249"/>
    <cellStyle name="SAPBEXHLevel2X 2 6 2" xfId="16250"/>
    <cellStyle name="SAPBEXHLevel2X 3" xfId="16251"/>
    <cellStyle name="SAPBEXHLevel2X 3 2" xfId="16252"/>
    <cellStyle name="SAPBEXHLevel2X 3 2 2" xfId="16253"/>
    <cellStyle name="SAPBEXHLevel2X 3 2 2 2" xfId="16254"/>
    <cellStyle name="SAPBEXHLevel2X 3 2 3" xfId="16255"/>
    <cellStyle name="SAPBEXHLevel2X 3 2 3 2" xfId="16256"/>
    <cellStyle name="SAPBEXHLevel2X 3 2 4" xfId="16257"/>
    <cellStyle name="SAPBEXHLevel2X 3 2 4 2" xfId="16258"/>
    <cellStyle name="SAPBEXHLevel2X 3 2 5" xfId="16259"/>
    <cellStyle name="SAPBEXHLevel2X 3 2 5 2" xfId="16260"/>
    <cellStyle name="SAPBEXHLevel2X 3 3" xfId="16261"/>
    <cellStyle name="SAPBEXHLevel2X 3 3 2" xfId="16262"/>
    <cellStyle name="SAPBEXHLevel2X 3 4" xfId="16263"/>
    <cellStyle name="SAPBEXHLevel2X 3 4 2" xfId="16264"/>
    <cellStyle name="SAPBEXHLevel2X 3 5" xfId="16265"/>
    <cellStyle name="SAPBEXHLevel2X 3 5 2" xfId="16266"/>
    <cellStyle name="SAPBEXHLevel2X 3 6" xfId="16267"/>
    <cellStyle name="SAPBEXHLevel2X 3 6 2" xfId="16268"/>
    <cellStyle name="SAPBEXHLevel2X 4" xfId="16269"/>
    <cellStyle name="SAPBEXHLevel2X 4 2" xfId="16270"/>
    <cellStyle name="SAPBEXHLevel2X 4 2 2" xfId="16271"/>
    <cellStyle name="SAPBEXHLevel2X 4 3" xfId="16272"/>
    <cellStyle name="SAPBEXHLevel2X 4 3 2" xfId="16273"/>
    <cellStyle name="SAPBEXHLevel2X 4 4" xfId="16274"/>
    <cellStyle name="SAPBEXHLevel2X 4 4 2" xfId="16275"/>
    <cellStyle name="SAPBEXHLevel2X 4 5" xfId="16276"/>
    <cellStyle name="SAPBEXHLevel2X 4 5 2" xfId="16277"/>
    <cellStyle name="SAPBEXHLevel2X 5" xfId="16278"/>
    <cellStyle name="SAPBEXHLevel2X 5 2" xfId="16279"/>
    <cellStyle name="SAPBEXHLevel2X 5 2 2" xfId="16280"/>
    <cellStyle name="SAPBEXHLevel2X 5 3" xfId="16281"/>
    <cellStyle name="SAPBEXHLevel2X 5 3 2" xfId="16282"/>
    <cellStyle name="SAPBEXHLevel2X 5 4" xfId="16283"/>
    <cellStyle name="SAPBEXHLevel2X 5 4 2" xfId="16284"/>
    <cellStyle name="SAPBEXHLevel2X 5 5" xfId="16285"/>
    <cellStyle name="SAPBEXHLevel2X 5 5 2" xfId="16286"/>
    <cellStyle name="SAPBEXHLevel2X 6" xfId="16287"/>
    <cellStyle name="SAPBEXHLevel2X 6 2" xfId="16288"/>
    <cellStyle name="SAPBEXHLevel2X 7" xfId="16289"/>
    <cellStyle name="SAPBEXHLevel2X 7 2" xfId="16290"/>
    <cellStyle name="SAPBEXHLevel2X 8" xfId="16291"/>
    <cellStyle name="SAPBEXHLevel2X 8 2" xfId="16292"/>
    <cellStyle name="SAPBEXHLevel2X 9" xfId="16293"/>
    <cellStyle name="SAPBEXHLevel2X 9 2" xfId="16294"/>
    <cellStyle name="SAPBEXHLevel3" xfId="16295"/>
    <cellStyle name="SAPBEXHLevel3 2" xfId="16296"/>
    <cellStyle name="SAPBEXHLevel3 2 2" xfId="16297"/>
    <cellStyle name="SAPBEXHLevel3 2 2 2" xfId="16298"/>
    <cellStyle name="SAPBEXHLevel3 2 2 2 2" xfId="16299"/>
    <cellStyle name="SAPBEXHLevel3 2 2 3" xfId="16300"/>
    <cellStyle name="SAPBEXHLevel3 2 2 3 2" xfId="16301"/>
    <cellStyle name="SAPBEXHLevel3 2 2 4" xfId="16302"/>
    <cellStyle name="SAPBEXHLevel3 2 2 4 2" xfId="16303"/>
    <cellStyle name="SAPBEXHLevel3 2 2 5" xfId="16304"/>
    <cellStyle name="SAPBEXHLevel3 2 2 5 2" xfId="16305"/>
    <cellStyle name="SAPBEXHLevel3 2 3" xfId="16306"/>
    <cellStyle name="SAPBEXHLevel3 2 3 2" xfId="16307"/>
    <cellStyle name="SAPBEXHLevel3 2 4" xfId="16308"/>
    <cellStyle name="SAPBEXHLevel3 2 4 2" xfId="16309"/>
    <cellStyle name="SAPBEXHLevel3 2 5" xfId="16310"/>
    <cellStyle name="SAPBEXHLevel3 2 5 2" xfId="16311"/>
    <cellStyle name="SAPBEXHLevel3 2 6" xfId="16312"/>
    <cellStyle name="SAPBEXHLevel3 2 6 2" xfId="16313"/>
    <cellStyle name="SAPBEXHLevel3 3" xfId="16314"/>
    <cellStyle name="SAPBEXHLevel3 3 2" xfId="16315"/>
    <cellStyle name="SAPBEXHLevel3 3 2 2" xfId="16316"/>
    <cellStyle name="SAPBEXHLevel3 3 2 2 2" xfId="16317"/>
    <cellStyle name="SAPBEXHLevel3 3 2 3" xfId="16318"/>
    <cellStyle name="SAPBEXHLevel3 3 2 3 2" xfId="16319"/>
    <cellStyle name="SAPBEXHLevel3 3 2 4" xfId="16320"/>
    <cellStyle name="SAPBEXHLevel3 3 2 4 2" xfId="16321"/>
    <cellStyle name="SAPBEXHLevel3 3 2 5" xfId="16322"/>
    <cellStyle name="SAPBEXHLevel3 3 2 5 2" xfId="16323"/>
    <cellStyle name="SAPBEXHLevel3 3 3" xfId="16324"/>
    <cellStyle name="SAPBEXHLevel3 3 3 2" xfId="16325"/>
    <cellStyle name="SAPBEXHLevel3 3 4" xfId="16326"/>
    <cellStyle name="SAPBEXHLevel3 3 4 2" xfId="16327"/>
    <cellStyle name="SAPBEXHLevel3 3 5" xfId="16328"/>
    <cellStyle name="SAPBEXHLevel3 3 5 2" xfId="16329"/>
    <cellStyle name="SAPBEXHLevel3 3 6" xfId="16330"/>
    <cellStyle name="SAPBEXHLevel3 3 6 2" xfId="16331"/>
    <cellStyle name="SAPBEXHLevel3 4" xfId="16332"/>
    <cellStyle name="SAPBEXHLevel3 4 2" xfId="16333"/>
    <cellStyle name="SAPBEXHLevel3 4 2 2" xfId="16334"/>
    <cellStyle name="SAPBEXHLevel3 4 3" xfId="16335"/>
    <cellStyle name="SAPBEXHLevel3 4 3 2" xfId="16336"/>
    <cellStyle name="SAPBEXHLevel3 4 4" xfId="16337"/>
    <cellStyle name="SAPBEXHLevel3 4 4 2" xfId="16338"/>
    <cellStyle name="SAPBEXHLevel3 4 5" xfId="16339"/>
    <cellStyle name="SAPBEXHLevel3 4 5 2" xfId="16340"/>
    <cellStyle name="SAPBEXHLevel3 5" xfId="16341"/>
    <cellStyle name="SAPBEXHLevel3 5 2" xfId="16342"/>
    <cellStyle name="SAPBEXHLevel3 5 2 2" xfId="16343"/>
    <cellStyle name="SAPBEXHLevel3 5 3" xfId="16344"/>
    <cellStyle name="SAPBEXHLevel3 5 3 2" xfId="16345"/>
    <cellStyle name="SAPBEXHLevel3 5 4" xfId="16346"/>
    <cellStyle name="SAPBEXHLevel3 5 4 2" xfId="16347"/>
    <cellStyle name="SAPBEXHLevel3 5 5" xfId="16348"/>
    <cellStyle name="SAPBEXHLevel3 5 5 2" xfId="16349"/>
    <cellStyle name="SAPBEXHLevel3 6" xfId="16350"/>
    <cellStyle name="SAPBEXHLevel3 6 2" xfId="16351"/>
    <cellStyle name="SAPBEXHLevel3 7" xfId="16352"/>
    <cellStyle name="SAPBEXHLevel3 7 2" xfId="16353"/>
    <cellStyle name="SAPBEXHLevel3 8" xfId="16354"/>
    <cellStyle name="SAPBEXHLevel3 8 2" xfId="16355"/>
    <cellStyle name="SAPBEXHLevel3 9" xfId="16356"/>
    <cellStyle name="SAPBEXHLevel3 9 2" xfId="16357"/>
    <cellStyle name="SAPBEXHLevel3X" xfId="16358"/>
    <cellStyle name="SAPBEXHLevel3X 2" xfId="16359"/>
    <cellStyle name="SAPBEXHLevel3X 2 2" xfId="16360"/>
    <cellStyle name="SAPBEXHLevel3X 2 2 2" xfId="16361"/>
    <cellStyle name="SAPBEXHLevel3X 2 2 2 2" xfId="16362"/>
    <cellStyle name="SAPBEXHLevel3X 2 2 3" xfId="16363"/>
    <cellStyle name="SAPBEXHLevel3X 2 2 3 2" xfId="16364"/>
    <cellStyle name="SAPBEXHLevel3X 2 2 4" xfId="16365"/>
    <cellStyle name="SAPBEXHLevel3X 2 2 4 2" xfId="16366"/>
    <cellStyle name="SAPBEXHLevel3X 2 2 5" xfId="16367"/>
    <cellStyle name="SAPBEXHLevel3X 2 2 5 2" xfId="16368"/>
    <cellStyle name="SAPBEXHLevel3X 2 3" xfId="16369"/>
    <cellStyle name="SAPBEXHLevel3X 2 3 2" xfId="16370"/>
    <cellStyle name="SAPBEXHLevel3X 2 4" xfId="16371"/>
    <cellStyle name="SAPBEXHLevel3X 2 4 2" xfId="16372"/>
    <cellStyle name="SAPBEXHLevel3X 2 5" xfId="16373"/>
    <cellStyle name="SAPBEXHLevel3X 2 5 2" xfId="16374"/>
    <cellStyle name="SAPBEXHLevel3X 2 6" xfId="16375"/>
    <cellStyle name="SAPBEXHLevel3X 2 6 2" xfId="16376"/>
    <cellStyle name="SAPBEXHLevel3X 3" xfId="16377"/>
    <cellStyle name="SAPBEXHLevel3X 3 2" xfId="16378"/>
    <cellStyle name="SAPBEXHLevel3X 3 2 2" xfId="16379"/>
    <cellStyle name="SAPBEXHLevel3X 3 2 2 2" xfId="16380"/>
    <cellStyle name="SAPBEXHLevel3X 3 2 3" xfId="16381"/>
    <cellStyle name="SAPBEXHLevel3X 3 2 3 2" xfId="16382"/>
    <cellStyle name="SAPBEXHLevel3X 3 2 4" xfId="16383"/>
    <cellStyle name="SAPBEXHLevel3X 3 2 4 2" xfId="16384"/>
    <cellStyle name="SAPBEXHLevel3X 3 2 5" xfId="16385"/>
    <cellStyle name="SAPBEXHLevel3X 3 2 5 2" xfId="16386"/>
    <cellStyle name="SAPBEXHLevel3X 3 3" xfId="16387"/>
    <cellStyle name="SAPBEXHLevel3X 3 3 2" xfId="16388"/>
    <cellStyle name="SAPBEXHLevel3X 3 4" xfId="16389"/>
    <cellStyle name="SAPBEXHLevel3X 3 4 2" xfId="16390"/>
    <cellStyle name="SAPBEXHLevel3X 3 5" xfId="16391"/>
    <cellStyle name="SAPBEXHLevel3X 3 5 2" xfId="16392"/>
    <cellStyle name="SAPBEXHLevel3X 3 6" xfId="16393"/>
    <cellStyle name="SAPBEXHLevel3X 3 6 2" xfId="16394"/>
    <cellStyle name="SAPBEXHLevel3X 4" xfId="16395"/>
    <cellStyle name="SAPBEXHLevel3X 4 2" xfId="16396"/>
    <cellStyle name="SAPBEXHLevel3X 4 2 2" xfId="16397"/>
    <cellStyle name="SAPBEXHLevel3X 4 3" xfId="16398"/>
    <cellStyle name="SAPBEXHLevel3X 4 3 2" xfId="16399"/>
    <cellStyle name="SAPBEXHLevel3X 4 4" xfId="16400"/>
    <cellStyle name="SAPBEXHLevel3X 4 4 2" xfId="16401"/>
    <cellStyle name="SAPBEXHLevel3X 4 5" xfId="16402"/>
    <cellStyle name="SAPBEXHLevel3X 4 5 2" xfId="16403"/>
    <cellStyle name="SAPBEXHLevel3X 5" xfId="16404"/>
    <cellStyle name="SAPBEXHLevel3X 5 2" xfId="16405"/>
    <cellStyle name="SAPBEXHLevel3X 5 2 2" xfId="16406"/>
    <cellStyle name="SAPBEXHLevel3X 5 3" xfId="16407"/>
    <cellStyle name="SAPBEXHLevel3X 5 3 2" xfId="16408"/>
    <cellStyle name="SAPBEXHLevel3X 5 4" xfId="16409"/>
    <cellStyle name="SAPBEXHLevel3X 5 4 2" xfId="16410"/>
    <cellStyle name="SAPBEXHLevel3X 5 5" xfId="16411"/>
    <cellStyle name="SAPBEXHLevel3X 5 5 2" xfId="16412"/>
    <cellStyle name="SAPBEXHLevel3X 6" xfId="16413"/>
    <cellStyle name="SAPBEXHLevel3X 6 2" xfId="16414"/>
    <cellStyle name="SAPBEXHLevel3X 7" xfId="16415"/>
    <cellStyle name="SAPBEXHLevel3X 7 2" xfId="16416"/>
    <cellStyle name="SAPBEXHLevel3X 8" xfId="16417"/>
    <cellStyle name="SAPBEXHLevel3X 8 2" xfId="16418"/>
    <cellStyle name="SAPBEXHLevel3X 9" xfId="16419"/>
    <cellStyle name="SAPBEXHLevel3X 9 2" xfId="16420"/>
    <cellStyle name="SAPBEXresData" xfId="16421"/>
    <cellStyle name="SAPBEXresData 2" xfId="16422"/>
    <cellStyle name="SAPBEXresData 2 2" xfId="16423"/>
    <cellStyle name="SAPBEXresData 2 2 2" xfId="16424"/>
    <cellStyle name="SAPBEXresData 2 3" xfId="16425"/>
    <cellStyle name="SAPBEXresData 2 3 2" xfId="16426"/>
    <cellStyle name="SAPBEXresData 2 4" xfId="16427"/>
    <cellStyle name="SAPBEXresData 2 4 2" xfId="16428"/>
    <cellStyle name="SAPBEXresData 2 5" xfId="16429"/>
    <cellStyle name="SAPBEXresData 2 5 2" xfId="16430"/>
    <cellStyle name="SAPBEXresData 3" xfId="16431"/>
    <cellStyle name="SAPBEXresData 3 2" xfId="16432"/>
    <cellStyle name="SAPBEXresData 3 2 2" xfId="16433"/>
    <cellStyle name="SAPBEXresData 3 3" xfId="16434"/>
    <cellStyle name="SAPBEXresData 3 3 2" xfId="16435"/>
    <cellStyle name="SAPBEXresData 3 4" xfId="16436"/>
    <cellStyle name="SAPBEXresData 3 4 2" xfId="16437"/>
    <cellStyle name="SAPBEXresData 3 5" xfId="16438"/>
    <cellStyle name="SAPBEXresData 3 5 2" xfId="16439"/>
    <cellStyle name="SAPBEXresData 4" xfId="16440"/>
    <cellStyle name="SAPBEXresData 4 2" xfId="16441"/>
    <cellStyle name="SAPBEXresData 5" xfId="16442"/>
    <cellStyle name="SAPBEXresData 5 2" xfId="16443"/>
    <cellStyle name="SAPBEXresData 6" xfId="16444"/>
    <cellStyle name="SAPBEXresData 6 2" xfId="16445"/>
    <cellStyle name="SAPBEXresData 7" xfId="16446"/>
    <cellStyle name="SAPBEXresData 7 2" xfId="16447"/>
    <cellStyle name="SAPBEXresDataEmph" xfId="16448"/>
    <cellStyle name="SAPBEXresDataEmph 2" xfId="16449"/>
    <cellStyle name="SAPBEXresDataEmph 2 2" xfId="16450"/>
    <cellStyle name="SAPBEXresDataEmph 2 2 2" xfId="16451"/>
    <cellStyle name="SAPBEXresDataEmph 2 3" xfId="16452"/>
    <cellStyle name="SAPBEXresDataEmph 2 3 2" xfId="16453"/>
    <cellStyle name="SAPBEXresDataEmph 2 4" xfId="16454"/>
    <cellStyle name="SAPBEXresDataEmph 2 4 2" xfId="16455"/>
    <cellStyle name="SAPBEXresDataEmph 2 5" xfId="16456"/>
    <cellStyle name="SAPBEXresDataEmph 2 5 2" xfId="16457"/>
    <cellStyle name="SAPBEXresDataEmph 3" xfId="16458"/>
    <cellStyle name="SAPBEXresDataEmph 3 2" xfId="16459"/>
    <cellStyle name="SAPBEXresDataEmph 3 2 2" xfId="16460"/>
    <cellStyle name="SAPBEXresDataEmph 3 3" xfId="16461"/>
    <cellStyle name="SAPBEXresDataEmph 3 3 2" xfId="16462"/>
    <cellStyle name="SAPBEXresDataEmph 3 4" xfId="16463"/>
    <cellStyle name="SAPBEXresDataEmph 3 4 2" xfId="16464"/>
    <cellStyle name="SAPBEXresDataEmph 3 5" xfId="16465"/>
    <cellStyle name="SAPBEXresDataEmph 3 5 2" xfId="16466"/>
    <cellStyle name="SAPBEXresDataEmph 4" xfId="16467"/>
    <cellStyle name="SAPBEXresDataEmph 4 2" xfId="16468"/>
    <cellStyle name="SAPBEXresDataEmph 5" xfId="16469"/>
    <cellStyle name="SAPBEXresDataEmph 5 2" xfId="16470"/>
    <cellStyle name="SAPBEXresDataEmph 6" xfId="16471"/>
    <cellStyle name="SAPBEXresDataEmph 6 2" xfId="16472"/>
    <cellStyle name="SAPBEXresDataEmph 7" xfId="16473"/>
    <cellStyle name="SAPBEXresDataEmph 7 2" xfId="16474"/>
    <cellStyle name="SAPBEXresItem" xfId="16475"/>
    <cellStyle name="SAPBEXresItem 2" xfId="16476"/>
    <cellStyle name="SAPBEXresItem 2 2" xfId="16477"/>
    <cellStyle name="SAPBEXresItem 2 2 2" xfId="16478"/>
    <cellStyle name="SAPBEXresItem 2 3" xfId="16479"/>
    <cellStyle name="SAPBEXresItem 2 3 2" xfId="16480"/>
    <cellStyle name="SAPBEXresItem 2 4" xfId="16481"/>
    <cellStyle name="SAPBEXresItem 2 4 2" xfId="16482"/>
    <cellStyle name="SAPBEXresItem 2 5" xfId="16483"/>
    <cellStyle name="SAPBEXresItem 2 5 2" xfId="16484"/>
    <cellStyle name="SAPBEXresItem 3" xfId="16485"/>
    <cellStyle name="SAPBEXresItem 3 2" xfId="16486"/>
    <cellStyle name="SAPBEXresItem 3 2 2" xfId="16487"/>
    <cellStyle name="SAPBEXresItem 3 3" xfId="16488"/>
    <cellStyle name="SAPBEXresItem 3 3 2" xfId="16489"/>
    <cellStyle name="SAPBEXresItem 3 4" xfId="16490"/>
    <cellStyle name="SAPBEXresItem 3 4 2" xfId="16491"/>
    <cellStyle name="SAPBEXresItem 3 5" xfId="16492"/>
    <cellStyle name="SAPBEXresItem 3 5 2" xfId="16493"/>
    <cellStyle name="SAPBEXresItem 4" xfId="16494"/>
    <cellStyle name="SAPBEXresItem 4 2" xfId="16495"/>
    <cellStyle name="SAPBEXresItem 5" xfId="16496"/>
    <cellStyle name="SAPBEXresItem 5 2" xfId="16497"/>
    <cellStyle name="SAPBEXresItem 6" xfId="16498"/>
    <cellStyle name="SAPBEXresItem 6 2" xfId="16499"/>
    <cellStyle name="SAPBEXresItem 7" xfId="16500"/>
    <cellStyle name="SAPBEXresItem 7 2" xfId="16501"/>
    <cellStyle name="SAPBEXresItemX" xfId="16502"/>
    <cellStyle name="SAPBEXresItemX 2" xfId="16503"/>
    <cellStyle name="SAPBEXresItemX 2 2" xfId="16504"/>
    <cellStyle name="SAPBEXresItemX 2 2 2" xfId="16505"/>
    <cellStyle name="SAPBEXresItemX 2 3" xfId="16506"/>
    <cellStyle name="SAPBEXresItemX 2 3 2" xfId="16507"/>
    <cellStyle name="SAPBEXresItemX 2 4" xfId="16508"/>
    <cellStyle name="SAPBEXresItemX 2 4 2" xfId="16509"/>
    <cellStyle name="SAPBEXresItemX 2 5" xfId="16510"/>
    <cellStyle name="SAPBEXresItemX 2 5 2" xfId="16511"/>
    <cellStyle name="SAPBEXresItemX 3" xfId="16512"/>
    <cellStyle name="SAPBEXresItemX 3 2" xfId="16513"/>
    <cellStyle name="SAPBEXresItemX 3 2 2" xfId="16514"/>
    <cellStyle name="SAPBEXresItemX 3 3" xfId="16515"/>
    <cellStyle name="SAPBEXresItemX 3 3 2" xfId="16516"/>
    <cellStyle name="SAPBEXresItemX 3 4" xfId="16517"/>
    <cellStyle name="SAPBEXresItemX 3 4 2" xfId="16518"/>
    <cellStyle name="SAPBEXresItemX 3 5" xfId="16519"/>
    <cellStyle name="SAPBEXresItemX 3 5 2" xfId="16520"/>
    <cellStyle name="SAPBEXresItemX 4" xfId="16521"/>
    <cellStyle name="SAPBEXresItemX 4 2" xfId="16522"/>
    <cellStyle name="SAPBEXresItemX 5" xfId="16523"/>
    <cellStyle name="SAPBEXresItemX 5 2" xfId="16524"/>
    <cellStyle name="SAPBEXresItemX 6" xfId="16525"/>
    <cellStyle name="SAPBEXresItemX 6 2" xfId="16526"/>
    <cellStyle name="SAPBEXresItemX 7" xfId="16527"/>
    <cellStyle name="SAPBEXresItemX 7 2" xfId="16528"/>
    <cellStyle name="SAPBEXstdData" xfId="2578"/>
    <cellStyle name="SAPBEXstdData 10" xfId="16529"/>
    <cellStyle name="SAPBEXstdData 10 2" xfId="16530"/>
    <cellStyle name="SAPBEXstdData 11" xfId="16531"/>
    <cellStyle name="SAPBEXstdData 11 2" xfId="16532"/>
    <cellStyle name="SAPBEXstdData 2" xfId="2579"/>
    <cellStyle name="SAPBEXstdData 2 2" xfId="2580"/>
    <cellStyle name="SAPBEXstdData 2 2 2" xfId="16533"/>
    <cellStyle name="SAPBEXstdData 2 2 2 2" xfId="16534"/>
    <cellStyle name="SAPBEXstdData 2 2 2 2 2" xfId="16535"/>
    <cellStyle name="SAPBEXstdData 2 2 2 3" xfId="16536"/>
    <cellStyle name="SAPBEXstdData 2 2 2 3 2" xfId="16537"/>
    <cellStyle name="SAPBEXstdData 2 2 2 4" xfId="16538"/>
    <cellStyle name="SAPBEXstdData 2 2 2 4 2" xfId="16539"/>
    <cellStyle name="SAPBEXstdData 2 2 2 5" xfId="16540"/>
    <cellStyle name="SAPBEXstdData 2 2 2 5 2" xfId="16541"/>
    <cellStyle name="SAPBEXstdData 2 2 3" xfId="16542"/>
    <cellStyle name="SAPBEXstdData 2 2 3 2" xfId="16543"/>
    <cellStyle name="SAPBEXstdData 2 2 3 2 2" xfId="16544"/>
    <cellStyle name="SAPBEXstdData 2 2 3 3" xfId="16545"/>
    <cellStyle name="SAPBEXstdData 2 2 3 3 2" xfId="16546"/>
    <cellStyle name="SAPBEXstdData 2 2 3 4" xfId="16547"/>
    <cellStyle name="SAPBEXstdData 2 2 3 4 2" xfId="16548"/>
    <cellStyle name="SAPBEXstdData 2 2 3 5" xfId="16549"/>
    <cellStyle name="SAPBEXstdData 2 2 3 5 2" xfId="16550"/>
    <cellStyle name="SAPBEXstdData 2 2 4" xfId="16551"/>
    <cellStyle name="SAPBEXstdData 2 2 4 2" xfId="16552"/>
    <cellStyle name="SAPBEXstdData 2 2 5" xfId="16553"/>
    <cellStyle name="SAPBEXstdData 2 2 5 2" xfId="16554"/>
    <cellStyle name="SAPBEXstdData 2 2 6" xfId="16555"/>
    <cellStyle name="SAPBEXstdData 2 2 6 2" xfId="16556"/>
    <cellStyle name="SAPBEXstdData 2 2 7" xfId="16557"/>
    <cellStyle name="SAPBEXstdData 2 2 7 2" xfId="16558"/>
    <cellStyle name="SAPBEXstdData 2 3" xfId="16559"/>
    <cellStyle name="SAPBEXstdData 2 3 2" xfId="16560"/>
    <cellStyle name="SAPBEXstdData 2 3 2 2" xfId="16561"/>
    <cellStyle name="SAPBEXstdData 2 3 3" xfId="16562"/>
    <cellStyle name="SAPBEXstdData 2 3 3 2" xfId="16563"/>
    <cellStyle name="SAPBEXstdData 2 3 4" xfId="16564"/>
    <cellStyle name="SAPBEXstdData 2 3 4 2" xfId="16565"/>
    <cellStyle name="SAPBEXstdData 2 3 5" xfId="16566"/>
    <cellStyle name="SAPBEXstdData 2 3 5 2" xfId="16567"/>
    <cellStyle name="SAPBEXstdData 2 4" xfId="16568"/>
    <cellStyle name="SAPBEXstdData 2 4 2" xfId="16569"/>
    <cellStyle name="SAPBEXstdData 2 4 2 2" xfId="16570"/>
    <cellStyle name="SAPBEXstdData 2 4 3" xfId="16571"/>
    <cellStyle name="SAPBEXstdData 2 4 3 2" xfId="16572"/>
    <cellStyle name="SAPBEXstdData 2 4 4" xfId="16573"/>
    <cellStyle name="SAPBEXstdData 2 4 4 2" xfId="16574"/>
    <cellStyle name="SAPBEXstdData 2 4 5" xfId="16575"/>
    <cellStyle name="SAPBEXstdData 2 4 5 2" xfId="16576"/>
    <cellStyle name="SAPBEXstdData 2 5" xfId="16577"/>
    <cellStyle name="SAPBEXstdData 2 5 2" xfId="16578"/>
    <cellStyle name="SAPBEXstdData 2 6" xfId="16579"/>
    <cellStyle name="SAPBEXstdData 2 6 2" xfId="16580"/>
    <cellStyle name="SAPBEXstdData 2 7" xfId="16581"/>
    <cellStyle name="SAPBEXstdData 2 7 2" xfId="16582"/>
    <cellStyle name="SAPBEXstdData 2 8" xfId="16583"/>
    <cellStyle name="SAPBEXstdData 2 8 2" xfId="16584"/>
    <cellStyle name="SAPBEXstdData 3" xfId="2581"/>
    <cellStyle name="SAPBEXstdData 3 2" xfId="2582"/>
    <cellStyle name="SAPBEXstdData 3 2 2" xfId="16585"/>
    <cellStyle name="SAPBEXstdData 3 2 2 2" xfId="16586"/>
    <cellStyle name="SAPBEXstdData 3 2 2 2 2" xfId="16587"/>
    <cellStyle name="SAPBEXstdData 3 2 2 3" xfId="16588"/>
    <cellStyle name="SAPBEXstdData 3 2 2 3 2" xfId="16589"/>
    <cellStyle name="SAPBEXstdData 3 2 2 4" xfId="16590"/>
    <cellStyle name="SAPBEXstdData 3 2 2 4 2" xfId="16591"/>
    <cellStyle name="SAPBEXstdData 3 2 2 5" xfId="16592"/>
    <cellStyle name="SAPBEXstdData 3 2 2 5 2" xfId="16593"/>
    <cellStyle name="SAPBEXstdData 3 2 3" xfId="16594"/>
    <cellStyle name="SAPBEXstdData 3 2 3 2" xfId="16595"/>
    <cellStyle name="SAPBEXstdData 3 2 3 2 2" xfId="16596"/>
    <cellStyle name="SAPBEXstdData 3 2 3 3" xfId="16597"/>
    <cellStyle name="SAPBEXstdData 3 2 3 3 2" xfId="16598"/>
    <cellStyle name="SAPBEXstdData 3 2 3 4" xfId="16599"/>
    <cellStyle name="SAPBEXstdData 3 2 3 4 2" xfId="16600"/>
    <cellStyle name="SAPBEXstdData 3 2 3 5" xfId="16601"/>
    <cellStyle name="SAPBEXstdData 3 2 3 5 2" xfId="16602"/>
    <cellStyle name="SAPBEXstdData 3 2 4" xfId="16603"/>
    <cellStyle name="SAPBEXstdData 3 2 4 2" xfId="16604"/>
    <cellStyle name="SAPBEXstdData 3 2 5" xfId="16605"/>
    <cellStyle name="SAPBEXstdData 3 2 5 2" xfId="16606"/>
    <cellStyle name="SAPBEXstdData 3 2 6" xfId="16607"/>
    <cellStyle name="SAPBEXstdData 3 2 6 2" xfId="16608"/>
    <cellStyle name="SAPBEXstdData 3 2 7" xfId="16609"/>
    <cellStyle name="SAPBEXstdData 3 2 7 2" xfId="16610"/>
    <cellStyle name="SAPBEXstdData 3 3" xfId="16611"/>
    <cellStyle name="SAPBEXstdData 3 3 2" xfId="16612"/>
    <cellStyle name="SAPBEXstdData 3 3 2 2" xfId="16613"/>
    <cellStyle name="SAPBEXstdData 3 3 3" xfId="16614"/>
    <cellStyle name="SAPBEXstdData 3 3 3 2" xfId="16615"/>
    <cellStyle name="SAPBEXstdData 3 3 4" xfId="16616"/>
    <cellStyle name="SAPBEXstdData 3 3 4 2" xfId="16617"/>
    <cellStyle name="SAPBEXstdData 3 3 5" xfId="16618"/>
    <cellStyle name="SAPBEXstdData 3 3 5 2" xfId="16619"/>
    <cellStyle name="SAPBEXstdData 3 4" xfId="16620"/>
    <cellStyle name="SAPBEXstdData 3 4 2" xfId="16621"/>
    <cellStyle name="SAPBEXstdData 3 4 2 2" xfId="16622"/>
    <cellStyle name="SAPBEXstdData 3 4 3" xfId="16623"/>
    <cellStyle name="SAPBEXstdData 3 4 3 2" xfId="16624"/>
    <cellStyle name="SAPBEXstdData 3 4 4" xfId="16625"/>
    <cellStyle name="SAPBEXstdData 3 4 4 2" xfId="16626"/>
    <cellStyle name="SAPBEXstdData 3 4 5" xfId="16627"/>
    <cellStyle name="SAPBEXstdData 3 4 5 2" xfId="16628"/>
    <cellStyle name="SAPBEXstdData 3 5" xfId="16629"/>
    <cellStyle name="SAPBEXstdData 3 5 2" xfId="16630"/>
    <cellStyle name="SAPBEXstdData 3 6" xfId="16631"/>
    <cellStyle name="SAPBEXstdData 3 6 2" xfId="16632"/>
    <cellStyle name="SAPBEXstdData 3 7" xfId="16633"/>
    <cellStyle name="SAPBEXstdData 3 7 2" xfId="16634"/>
    <cellStyle name="SAPBEXstdData 3 8" xfId="16635"/>
    <cellStyle name="SAPBEXstdData 3 8 2" xfId="16636"/>
    <cellStyle name="SAPBEXstdData 4" xfId="2583"/>
    <cellStyle name="SAPBEXstdData 4 2" xfId="2584"/>
    <cellStyle name="SAPBEXstdData 4 2 2" xfId="16637"/>
    <cellStyle name="SAPBEXstdData 4 2 2 2" xfId="16638"/>
    <cellStyle name="SAPBEXstdData 4 2 2 2 2" xfId="16639"/>
    <cellStyle name="SAPBEXstdData 4 2 2 3" xfId="16640"/>
    <cellStyle name="SAPBEXstdData 4 2 2 3 2" xfId="16641"/>
    <cellStyle name="SAPBEXstdData 4 2 2 4" xfId="16642"/>
    <cellStyle name="SAPBEXstdData 4 2 2 4 2" xfId="16643"/>
    <cellStyle name="SAPBEXstdData 4 2 2 5" xfId="16644"/>
    <cellStyle name="SAPBEXstdData 4 2 2 5 2" xfId="16645"/>
    <cellStyle name="SAPBEXstdData 4 2 3" xfId="16646"/>
    <cellStyle name="SAPBEXstdData 4 2 3 2" xfId="16647"/>
    <cellStyle name="SAPBEXstdData 4 2 3 2 2" xfId="16648"/>
    <cellStyle name="SAPBEXstdData 4 2 3 3" xfId="16649"/>
    <cellStyle name="SAPBEXstdData 4 2 3 3 2" xfId="16650"/>
    <cellStyle name="SAPBEXstdData 4 2 3 4" xfId="16651"/>
    <cellStyle name="SAPBEXstdData 4 2 3 4 2" xfId="16652"/>
    <cellStyle name="SAPBEXstdData 4 2 3 5" xfId="16653"/>
    <cellStyle name="SAPBEXstdData 4 2 3 5 2" xfId="16654"/>
    <cellStyle name="SAPBEXstdData 4 2 4" xfId="16655"/>
    <cellStyle name="SAPBEXstdData 4 2 4 2" xfId="16656"/>
    <cellStyle name="SAPBEXstdData 4 2 5" xfId="16657"/>
    <cellStyle name="SAPBEXstdData 4 2 5 2" xfId="16658"/>
    <cellStyle name="SAPBEXstdData 4 2 6" xfId="16659"/>
    <cellStyle name="SAPBEXstdData 4 2 6 2" xfId="16660"/>
    <cellStyle name="SAPBEXstdData 4 2 7" xfId="16661"/>
    <cellStyle name="SAPBEXstdData 4 2 7 2" xfId="16662"/>
    <cellStyle name="SAPBEXstdData 4 3" xfId="16663"/>
    <cellStyle name="SAPBEXstdData 4 3 2" xfId="16664"/>
    <cellStyle name="SAPBEXstdData 4 3 2 2" xfId="16665"/>
    <cellStyle name="SAPBEXstdData 4 3 3" xfId="16666"/>
    <cellStyle name="SAPBEXstdData 4 3 3 2" xfId="16667"/>
    <cellStyle name="SAPBEXstdData 4 3 4" xfId="16668"/>
    <cellStyle name="SAPBEXstdData 4 3 4 2" xfId="16669"/>
    <cellStyle name="SAPBEXstdData 4 3 5" xfId="16670"/>
    <cellStyle name="SAPBEXstdData 4 3 5 2" xfId="16671"/>
    <cellStyle name="SAPBEXstdData 4 4" xfId="16672"/>
    <cellStyle name="SAPBEXstdData 4 4 2" xfId="16673"/>
    <cellStyle name="SAPBEXstdData 4 4 2 2" xfId="16674"/>
    <cellStyle name="SAPBEXstdData 4 4 3" xfId="16675"/>
    <cellStyle name="SAPBEXstdData 4 4 3 2" xfId="16676"/>
    <cellStyle name="SAPBEXstdData 4 4 4" xfId="16677"/>
    <cellStyle name="SAPBEXstdData 4 4 4 2" xfId="16678"/>
    <cellStyle name="SAPBEXstdData 4 4 5" xfId="16679"/>
    <cellStyle name="SAPBEXstdData 4 4 5 2" xfId="16680"/>
    <cellStyle name="SAPBEXstdData 4 5" xfId="16681"/>
    <cellStyle name="SAPBEXstdData 4 5 2" xfId="16682"/>
    <cellStyle name="SAPBEXstdData 4 6" xfId="16683"/>
    <cellStyle name="SAPBEXstdData 4 6 2" xfId="16684"/>
    <cellStyle name="SAPBEXstdData 4 7" xfId="16685"/>
    <cellStyle name="SAPBEXstdData 4 7 2" xfId="16686"/>
    <cellStyle name="SAPBEXstdData 4 8" xfId="16687"/>
    <cellStyle name="SAPBEXstdData 4 8 2" xfId="16688"/>
    <cellStyle name="SAPBEXstdData 5" xfId="2585"/>
    <cellStyle name="SAPBEXstdData 5 2" xfId="16689"/>
    <cellStyle name="SAPBEXstdData 5 2 2" xfId="16690"/>
    <cellStyle name="SAPBEXstdData 5 2 2 2" xfId="16691"/>
    <cellStyle name="SAPBEXstdData 5 2 3" xfId="16692"/>
    <cellStyle name="SAPBEXstdData 5 2 3 2" xfId="16693"/>
    <cellStyle name="SAPBEXstdData 5 2 4" xfId="16694"/>
    <cellStyle name="SAPBEXstdData 5 2 4 2" xfId="16695"/>
    <cellStyle name="SAPBEXstdData 5 2 5" xfId="16696"/>
    <cellStyle name="SAPBEXstdData 5 2 5 2" xfId="16697"/>
    <cellStyle name="SAPBEXstdData 5 3" xfId="16698"/>
    <cellStyle name="SAPBEXstdData 5 3 2" xfId="16699"/>
    <cellStyle name="SAPBEXstdData 5 3 2 2" xfId="16700"/>
    <cellStyle name="SAPBEXstdData 5 3 3" xfId="16701"/>
    <cellStyle name="SAPBEXstdData 5 3 3 2" xfId="16702"/>
    <cellStyle name="SAPBEXstdData 5 3 4" xfId="16703"/>
    <cellStyle name="SAPBEXstdData 5 3 4 2" xfId="16704"/>
    <cellStyle name="SAPBEXstdData 5 3 5" xfId="16705"/>
    <cellStyle name="SAPBEXstdData 5 3 5 2" xfId="16706"/>
    <cellStyle name="SAPBEXstdData 5 4" xfId="16707"/>
    <cellStyle name="SAPBEXstdData 5 4 2" xfId="16708"/>
    <cellStyle name="SAPBEXstdData 5 5" xfId="16709"/>
    <cellStyle name="SAPBEXstdData 5 5 2" xfId="16710"/>
    <cellStyle name="SAPBEXstdData 5 6" xfId="16711"/>
    <cellStyle name="SAPBEXstdData 5 6 2" xfId="16712"/>
    <cellStyle name="SAPBEXstdData 5 7" xfId="16713"/>
    <cellStyle name="SAPBEXstdData 5 7 2" xfId="16714"/>
    <cellStyle name="SAPBEXstdData 6" xfId="16715"/>
    <cellStyle name="SAPBEXstdData 6 2" xfId="16716"/>
    <cellStyle name="SAPBEXstdData 6 2 2" xfId="16717"/>
    <cellStyle name="SAPBEXstdData 6 3" xfId="16718"/>
    <cellStyle name="SAPBEXstdData 6 3 2" xfId="16719"/>
    <cellStyle name="SAPBEXstdData 6 4" xfId="16720"/>
    <cellStyle name="SAPBEXstdData 6 4 2" xfId="16721"/>
    <cellStyle name="SAPBEXstdData 6 5" xfId="16722"/>
    <cellStyle name="SAPBEXstdData 6 5 2" xfId="16723"/>
    <cellStyle name="SAPBEXstdData 7" xfId="16724"/>
    <cellStyle name="SAPBEXstdData 7 2" xfId="16725"/>
    <cellStyle name="SAPBEXstdData 7 2 2" xfId="16726"/>
    <cellStyle name="SAPBEXstdData 7 3" xfId="16727"/>
    <cellStyle name="SAPBEXstdData 7 3 2" xfId="16728"/>
    <cellStyle name="SAPBEXstdData 7 4" xfId="16729"/>
    <cellStyle name="SAPBEXstdData 7 4 2" xfId="16730"/>
    <cellStyle name="SAPBEXstdData 7 5" xfId="16731"/>
    <cellStyle name="SAPBEXstdData 7 5 2" xfId="16732"/>
    <cellStyle name="SAPBEXstdData 8" xfId="16733"/>
    <cellStyle name="SAPBEXstdData 8 2" xfId="16734"/>
    <cellStyle name="SAPBEXstdData 9" xfId="16735"/>
    <cellStyle name="SAPBEXstdData 9 2" xfId="16736"/>
    <cellStyle name="SAPBEXstdDataEmph" xfId="16737"/>
    <cellStyle name="SAPBEXstdDataEmph 2" xfId="16738"/>
    <cellStyle name="SAPBEXstdDataEmph 2 2" xfId="16739"/>
    <cellStyle name="SAPBEXstdDataEmph 2 2 2" xfId="16740"/>
    <cellStyle name="SAPBEXstdDataEmph 2 3" xfId="16741"/>
    <cellStyle name="SAPBEXstdDataEmph 2 3 2" xfId="16742"/>
    <cellStyle name="SAPBEXstdDataEmph 2 4" xfId="16743"/>
    <cellStyle name="SAPBEXstdDataEmph 2 4 2" xfId="16744"/>
    <cellStyle name="SAPBEXstdDataEmph 2 5" xfId="16745"/>
    <cellStyle name="SAPBEXstdDataEmph 2 5 2" xfId="16746"/>
    <cellStyle name="SAPBEXstdDataEmph 3" xfId="16747"/>
    <cellStyle name="SAPBEXstdDataEmph 3 2" xfId="16748"/>
    <cellStyle name="SAPBEXstdDataEmph 3 2 2" xfId="16749"/>
    <cellStyle name="SAPBEXstdDataEmph 3 3" xfId="16750"/>
    <cellStyle name="SAPBEXstdDataEmph 3 3 2" xfId="16751"/>
    <cellStyle name="SAPBEXstdDataEmph 3 4" xfId="16752"/>
    <cellStyle name="SAPBEXstdDataEmph 3 4 2" xfId="16753"/>
    <cellStyle name="SAPBEXstdDataEmph 3 5" xfId="16754"/>
    <cellStyle name="SAPBEXstdDataEmph 3 5 2" xfId="16755"/>
    <cellStyle name="SAPBEXstdDataEmph 4" xfId="16756"/>
    <cellStyle name="SAPBEXstdDataEmph 4 2" xfId="16757"/>
    <cellStyle name="SAPBEXstdDataEmph 5" xfId="16758"/>
    <cellStyle name="SAPBEXstdDataEmph 5 2" xfId="16759"/>
    <cellStyle name="SAPBEXstdDataEmph 6" xfId="16760"/>
    <cellStyle name="SAPBEXstdDataEmph 6 2" xfId="16761"/>
    <cellStyle name="SAPBEXstdDataEmph 7" xfId="16762"/>
    <cellStyle name="SAPBEXstdDataEmph 7 2" xfId="16763"/>
    <cellStyle name="SAPBEXstdItem" xfId="16764"/>
    <cellStyle name="SAPBEXstdItem 2" xfId="16765"/>
    <cellStyle name="SAPBEXstdItem 2 2" xfId="16766"/>
    <cellStyle name="SAPBEXstdItem 2 2 2" xfId="16767"/>
    <cellStyle name="SAPBEXstdItem 2 3" xfId="16768"/>
    <cellStyle name="SAPBEXstdItem 2 3 2" xfId="16769"/>
    <cellStyle name="SAPBEXstdItem 2 4" xfId="16770"/>
    <cellStyle name="SAPBEXstdItem 2 4 2" xfId="16771"/>
    <cellStyle name="SAPBEXstdItem 2 5" xfId="16772"/>
    <cellStyle name="SAPBEXstdItem 2 5 2" xfId="16773"/>
    <cellStyle name="SAPBEXstdItem 3" xfId="16774"/>
    <cellStyle name="SAPBEXstdItem 3 2" xfId="16775"/>
    <cellStyle name="SAPBEXstdItem 3 2 2" xfId="16776"/>
    <cellStyle name="SAPBEXstdItem 3 3" xfId="16777"/>
    <cellStyle name="SAPBEXstdItem 3 3 2" xfId="16778"/>
    <cellStyle name="SAPBEXstdItem 3 4" xfId="16779"/>
    <cellStyle name="SAPBEXstdItem 3 4 2" xfId="16780"/>
    <cellStyle name="SAPBEXstdItem 3 5" xfId="16781"/>
    <cellStyle name="SAPBEXstdItem 3 5 2" xfId="16782"/>
    <cellStyle name="SAPBEXstdItem 4" xfId="16783"/>
    <cellStyle name="SAPBEXstdItem 4 2" xfId="16784"/>
    <cellStyle name="SAPBEXstdItem 5" xfId="16785"/>
    <cellStyle name="SAPBEXstdItem 5 2" xfId="16786"/>
    <cellStyle name="SAPBEXstdItem 6" xfId="16787"/>
    <cellStyle name="SAPBEXstdItem 6 2" xfId="16788"/>
    <cellStyle name="SAPBEXstdItem 7" xfId="16789"/>
    <cellStyle name="SAPBEXstdItem 7 2" xfId="16790"/>
    <cellStyle name="SAPBEXstdItemX" xfId="16791"/>
    <cellStyle name="SAPBEXstdItemX 2" xfId="16792"/>
    <cellStyle name="SAPBEXstdItemX 2 2" xfId="16793"/>
    <cellStyle name="SAPBEXstdItemX 2 2 2" xfId="16794"/>
    <cellStyle name="SAPBEXstdItemX 2 3" xfId="16795"/>
    <cellStyle name="SAPBEXstdItemX 2 3 2" xfId="16796"/>
    <cellStyle name="SAPBEXstdItemX 2 4" xfId="16797"/>
    <cellStyle name="SAPBEXstdItemX 2 4 2" xfId="16798"/>
    <cellStyle name="SAPBEXstdItemX 2 5" xfId="16799"/>
    <cellStyle name="SAPBEXstdItemX 2 5 2" xfId="16800"/>
    <cellStyle name="SAPBEXstdItemX 3" xfId="16801"/>
    <cellStyle name="SAPBEXstdItemX 3 2" xfId="16802"/>
    <cellStyle name="SAPBEXstdItemX 3 2 2" xfId="16803"/>
    <cellStyle name="SAPBEXstdItemX 3 3" xfId="16804"/>
    <cellStyle name="SAPBEXstdItemX 3 3 2" xfId="16805"/>
    <cellStyle name="SAPBEXstdItemX 3 4" xfId="16806"/>
    <cellStyle name="SAPBEXstdItemX 3 4 2" xfId="16807"/>
    <cellStyle name="SAPBEXstdItemX 3 5" xfId="16808"/>
    <cellStyle name="SAPBEXstdItemX 3 5 2" xfId="16809"/>
    <cellStyle name="SAPBEXstdItemX 4" xfId="16810"/>
    <cellStyle name="SAPBEXstdItemX 4 2" xfId="16811"/>
    <cellStyle name="SAPBEXstdItemX 5" xfId="16812"/>
    <cellStyle name="SAPBEXstdItemX 5 2" xfId="16813"/>
    <cellStyle name="SAPBEXstdItemX 6" xfId="16814"/>
    <cellStyle name="SAPBEXstdItemX 6 2" xfId="16815"/>
    <cellStyle name="SAPBEXstdItemX 7" xfId="16816"/>
    <cellStyle name="SAPBEXstdItemX 7 2" xfId="16817"/>
    <cellStyle name="SAPBEXtitle" xfId="16818"/>
    <cellStyle name="SAPBEXundefined" xfId="16819"/>
    <cellStyle name="SAPBEXundefined 2" xfId="16820"/>
    <cellStyle name="SAPBEXundefined 2 2" xfId="16821"/>
    <cellStyle name="SAPBEXundefined 2 2 2" xfId="16822"/>
    <cellStyle name="SAPBEXundefined 2 3" xfId="16823"/>
    <cellStyle name="SAPBEXundefined 2 3 2" xfId="16824"/>
    <cellStyle name="SAPBEXundefined 2 4" xfId="16825"/>
    <cellStyle name="SAPBEXundefined 2 4 2" xfId="16826"/>
    <cellStyle name="SAPBEXundefined 2 5" xfId="16827"/>
    <cellStyle name="SAPBEXundefined 2 5 2" xfId="16828"/>
    <cellStyle name="SAPBEXundefined 3" xfId="16829"/>
    <cellStyle name="SAPBEXundefined 3 2" xfId="16830"/>
    <cellStyle name="SAPBEXundefined 3 2 2" xfId="16831"/>
    <cellStyle name="SAPBEXundefined 3 3" xfId="16832"/>
    <cellStyle name="SAPBEXundefined 3 3 2" xfId="16833"/>
    <cellStyle name="SAPBEXundefined 3 4" xfId="16834"/>
    <cellStyle name="SAPBEXundefined 3 4 2" xfId="16835"/>
    <cellStyle name="SAPBEXundefined 3 5" xfId="16836"/>
    <cellStyle name="SAPBEXundefined 3 5 2" xfId="16837"/>
    <cellStyle name="SAPBEXundefined 4" xfId="16838"/>
    <cellStyle name="SAPBEXundefined 4 2" xfId="16839"/>
    <cellStyle name="SAPBEXundefined 5" xfId="16840"/>
    <cellStyle name="SAPBEXundefined 5 2" xfId="16841"/>
    <cellStyle name="SAPBEXundefined 6" xfId="16842"/>
    <cellStyle name="SAPBEXundefined 6 2" xfId="16843"/>
    <cellStyle name="SAPBEXundefined 7" xfId="16844"/>
    <cellStyle name="SAPBEXundefined 7 2" xfId="16845"/>
    <cellStyle name="Sem nada" xfId="16846"/>
    <cellStyle name="Sep. milhar [0]" xfId="1704"/>
    <cellStyle name="Separador de milhares 10" xfId="1705"/>
    <cellStyle name="Separador de milhares 11" xfId="1706"/>
    <cellStyle name="Separador de milhares 12" xfId="2586"/>
    <cellStyle name="Separador de milhares 13" xfId="2587"/>
    <cellStyle name="Separador de milhares 14" xfId="2588"/>
    <cellStyle name="Separador de milhares 14 2" xfId="2589"/>
    <cellStyle name="Separador de milhares 14 2 2" xfId="16847"/>
    <cellStyle name="Separador de milhares 14 2 2 2" xfId="16848"/>
    <cellStyle name="Separador de milhares 14 2 3" xfId="16849"/>
    <cellStyle name="Separador de milhares 14 3" xfId="2590"/>
    <cellStyle name="Separador de milhares 14 3 2" xfId="16850"/>
    <cellStyle name="Separador de milhares 14 3 2 2" xfId="16851"/>
    <cellStyle name="Separador de milhares 14 3 3" xfId="16852"/>
    <cellStyle name="Separador de milhares 14 4" xfId="16853"/>
    <cellStyle name="Separador de milhares 14 4 2" xfId="16854"/>
    <cellStyle name="Separador de milhares 14 5" xfId="16855"/>
    <cellStyle name="Separador de milhares 15" xfId="1707"/>
    <cellStyle name="Separador de milhares 15 2" xfId="2591"/>
    <cellStyle name="Separador de milhares 15 2 2" xfId="2592"/>
    <cellStyle name="Separador de milhares 15 2 2 2" xfId="16856"/>
    <cellStyle name="Separador de milhares 15 2 2 2 2" xfId="16857"/>
    <cellStyle name="Separador de milhares 15 2 2 3" xfId="16858"/>
    <cellStyle name="Separador de milhares 15 2 3" xfId="2593"/>
    <cellStyle name="Separador de milhares 15 2 3 2" xfId="16859"/>
    <cellStyle name="Separador de milhares 15 2 3 2 2" xfId="16860"/>
    <cellStyle name="Separador de milhares 15 2 3 3" xfId="16861"/>
    <cellStyle name="Separador de milhares 15 2 4" xfId="16862"/>
    <cellStyle name="Separador de milhares 15 2 4 2" xfId="16863"/>
    <cellStyle name="Separador de milhares 15 2 5" xfId="16864"/>
    <cellStyle name="Separador de milhares 15 3" xfId="2594"/>
    <cellStyle name="Separador de milhares 15 3 2" xfId="16865"/>
    <cellStyle name="Separador de milhares 15 3 2 2" xfId="16866"/>
    <cellStyle name="Separador de milhares 15 3 3" xfId="16867"/>
    <cellStyle name="Separador de milhares 15 4" xfId="2595"/>
    <cellStyle name="Separador de milhares 15 4 2" xfId="16868"/>
    <cellStyle name="Separador de milhares 15 4 2 2" xfId="16869"/>
    <cellStyle name="Separador de milhares 15 4 3" xfId="16870"/>
    <cellStyle name="Separador de milhares 15 5" xfId="16871"/>
    <cellStyle name="Separador de milhares 15 5 2" xfId="16872"/>
    <cellStyle name="Separador de milhares 15 6" xfId="16873"/>
    <cellStyle name="Separador de milhares 16" xfId="2596"/>
    <cellStyle name="Separador de milhares 16 2" xfId="2597"/>
    <cellStyle name="Separador de milhares 16 2 2" xfId="16874"/>
    <cellStyle name="Separador de milhares 16 2 2 2" xfId="16875"/>
    <cellStyle name="Separador de milhares 16 2 3" xfId="16876"/>
    <cellStyle name="Separador de milhares 16 3" xfId="2598"/>
    <cellStyle name="Separador de milhares 16 3 2" xfId="16877"/>
    <cellStyle name="Separador de milhares 16 3 2 2" xfId="16878"/>
    <cellStyle name="Separador de milhares 16 3 3" xfId="16879"/>
    <cellStyle name="Separador de milhares 16 4" xfId="16880"/>
    <cellStyle name="Separador de milhares 16 4 2" xfId="16881"/>
    <cellStyle name="Separador de milhares 16 5" xfId="16882"/>
    <cellStyle name="Separador de milhares 17" xfId="2599"/>
    <cellStyle name="Separador de milhares 17 2" xfId="2600"/>
    <cellStyle name="Separador de milhares 17 2 2" xfId="16883"/>
    <cellStyle name="Separador de milhares 17 2 2 2" xfId="16884"/>
    <cellStyle name="Separador de milhares 17 2 3" xfId="16885"/>
    <cellStyle name="Separador de milhares 17 3" xfId="2601"/>
    <cellStyle name="Separador de milhares 17 3 2" xfId="16886"/>
    <cellStyle name="Separador de milhares 17 3 2 2" xfId="16887"/>
    <cellStyle name="Separador de milhares 17 3 3" xfId="16888"/>
    <cellStyle name="Separador de milhares 17 4" xfId="16889"/>
    <cellStyle name="Separador de milhares 17 4 2" xfId="16890"/>
    <cellStyle name="Separador de milhares 17 5" xfId="16891"/>
    <cellStyle name="Separador de milhares 18" xfId="16892"/>
    <cellStyle name="Separador de milhares 19" xfId="16893"/>
    <cellStyle name="Separador de milhares 2" xfId="1708"/>
    <cellStyle name="Separador de milhares 2 10" xfId="1709"/>
    <cellStyle name="Separador de milhares 2 11" xfId="1710"/>
    <cellStyle name="Separador de milhares 2 12" xfId="1711"/>
    <cellStyle name="Separador de milhares 2 13" xfId="1712"/>
    <cellStyle name="Separador de milhares 2 14" xfId="16894"/>
    <cellStyle name="Separador de milhares 2 14 2" xfId="16895"/>
    <cellStyle name="Separador de milhares 2 14 2 2" xfId="16896"/>
    <cellStyle name="Separador de milhares 2 14 3" xfId="16897"/>
    <cellStyle name="Separador de milhares 2 15" xfId="16898"/>
    <cellStyle name="Separador de milhares 2 15 2" xfId="16899"/>
    <cellStyle name="Separador de milhares 2 15 2 2" xfId="16900"/>
    <cellStyle name="Separador de milhares 2 15 3" xfId="16901"/>
    <cellStyle name="Separador de milhares 2 16" xfId="16902"/>
    <cellStyle name="Separador de milhares 2 16 2" xfId="16903"/>
    <cellStyle name="Separador de milhares 2 16 2 2" xfId="16904"/>
    <cellStyle name="Separador de milhares 2 16 3" xfId="16905"/>
    <cellStyle name="Separador de milhares 2 17" xfId="16906"/>
    <cellStyle name="Separador de milhares 2 17 2" xfId="16907"/>
    <cellStyle name="Separador de milhares 2 17 2 2" xfId="16908"/>
    <cellStyle name="Separador de milhares 2 17 3" xfId="16909"/>
    <cellStyle name="Separador de milhares 2 18" xfId="16910"/>
    <cellStyle name="Separador de milhares 2 18 2" xfId="16911"/>
    <cellStyle name="Separador de milhares 2 19" xfId="16912"/>
    <cellStyle name="Separador de milhares 2 2" xfId="1713"/>
    <cellStyle name="Separador de milhares 2 2 10" xfId="1714"/>
    <cellStyle name="Separador de milhares 2 2 10 2" xfId="16913"/>
    <cellStyle name="Separador de milhares 2 2 10 2 2" xfId="16914"/>
    <cellStyle name="Separador de milhares 2 2 10 3" xfId="16915"/>
    <cellStyle name="Separador de milhares 2 2 11" xfId="1715"/>
    <cellStyle name="Separador de milhares 2 2 11 2" xfId="16916"/>
    <cellStyle name="Separador de milhares 2 2 11 2 2" xfId="16917"/>
    <cellStyle name="Separador de milhares 2 2 11 3" xfId="16918"/>
    <cellStyle name="Separador de milhares 2 2 12" xfId="1716"/>
    <cellStyle name="Separador de milhares 2 2 12 2" xfId="16919"/>
    <cellStyle name="Separador de milhares 2 2 12 2 2" xfId="16920"/>
    <cellStyle name="Separador de milhares 2 2 12 3" xfId="16921"/>
    <cellStyle name="Separador de milhares 2 2 13" xfId="16922"/>
    <cellStyle name="Separador de milhares 2 2 13 2" xfId="16923"/>
    <cellStyle name="Separador de milhares 2 2 14" xfId="16924"/>
    <cellStyle name="Separador de milhares 2 2 2" xfId="1717"/>
    <cellStyle name="Separador de milhares 2 2 2 10" xfId="1718"/>
    <cellStyle name="Separador de milhares 2 2 2 10 2" xfId="16925"/>
    <cellStyle name="Separador de milhares 2 2 2 10 2 2" xfId="16926"/>
    <cellStyle name="Separador de milhares 2 2 2 10 3" xfId="16927"/>
    <cellStyle name="Separador de milhares 2 2 2 11" xfId="1719"/>
    <cellStyle name="Separador de milhares 2 2 2 11 2" xfId="16928"/>
    <cellStyle name="Separador de milhares 2 2 2 12" xfId="16929"/>
    <cellStyle name="Separador de milhares 2 2 2 13" xfId="2805"/>
    <cellStyle name="Separador de milhares 2 2 2 2" xfId="1720"/>
    <cellStyle name="Separador de milhares 2 2 2 2 2" xfId="16930"/>
    <cellStyle name="Separador de milhares 2 2 2 2 2 2" xfId="16931"/>
    <cellStyle name="Separador de milhares 2 2 2 2 3" xfId="16932"/>
    <cellStyle name="Separador de milhares 2 2 2 3" xfId="1721"/>
    <cellStyle name="Separador de milhares 2 2 2 3 2" xfId="16933"/>
    <cellStyle name="Separador de milhares 2 2 2 3 2 2" xfId="16934"/>
    <cellStyle name="Separador de milhares 2 2 2 3 3" xfId="16935"/>
    <cellStyle name="Separador de milhares 2 2 2 4" xfId="1722"/>
    <cellStyle name="Separador de milhares 2 2 2 4 2" xfId="16936"/>
    <cellStyle name="Separador de milhares 2 2 2 4 2 2" xfId="16937"/>
    <cellStyle name="Separador de milhares 2 2 2 4 3" xfId="16938"/>
    <cellStyle name="Separador de milhares 2 2 2 5" xfId="1723"/>
    <cellStyle name="Separador de milhares 2 2 2 5 2" xfId="16939"/>
    <cellStyle name="Separador de milhares 2 2 2 5 2 2" xfId="16940"/>
    <cellStyle name="Separador de milhares 2 2 2 5 3" xfId="16941"/>
    <cellStyle name="Separador de milhares 2 2 2 6" xfId="1724"/>
    <cellStyle name="Separador de milhares 2 2 2 6 2" xfId="16942"/>
    <cellStyle name="Separador de milhares 2 2 2 6 2 2" xfId="16943"/>
    <cellStyle name="Separador de milhares 2 2 2 6 3" xfId="16944"/>
    <cellStyle name="Separador de milhares 2 2 2 7" xfId="1725"/>
    <cellStyle name="Separador de milhares 2 2 2 7 2" xfId="16945"/>
    <cellStyle name="Separador de milhares 2 2 2 7 2 2" xfId="16946"/>
    <cellStyle name="Separador de milhares 2 2 2 7 3" xfId="16947"/>
    <cellStyle name="Separador de milhares 2 2 2 8" xfId="1726"/>
    <cellStyle name="Separador de milhares 2 2 2 8 2" xfId="16948"/>
    <cellStyle name="Separador de milhares 2 2 2 8 2 2" xfId="16949"/>
    <cellStyle name="Separador de milhares 2 2 2 8 3" xfId="16950"/>
    <cellStyle name="Separador de milhares 2 2 2 9" xfId="1727"/>
    <cellStyle name="Separador de milhares 2 2 2 9 2" xfId="16951"/>
    <cellStyle name="Separador de milhares 2 2 2 9 2 2" xfId="16952"/>
    <cellStyle name="Separador de milhares 2 2 2 9 3" xfId="16953"/>
    <cellStyle name="Separador de milhares 2 2 2_Base indicadores" xfId="1728"/>
    <cellStyle name="Separador de milhares 2 2 3" xfId="1729"/>
    <cellStyle name="Separador de milhares 2 2 3 10" xfId="1730"/>
    <cellStyle name="Separador de milhares 2 2 3 10 2" xfId="16954"/>
    <cellStyle name="Separador de milhares 2 2 3 10 2 2" xfId="16955"/>
    <cellStyle name="Separador de milhares 2 2 3 10 3" xfId="16956"/>
    <cellStyle name="Separador de milhares 2 2 3 11" xfId="16957"/>
    <cellStyle name="Separador de milhares 2 2 3 11 2" xfId="16958"/>
    <cellStyle name="Separador de milhares 2 2 3 12" xfId="16959"/>
    <cellStyle name="Separador de milhares 2 2 3 2" xfId="1731"/>
    <cellStyle name="Separador de milhares 2 2 3 2 2" xfId="16960"/>
    <cellStyle name="Separador de milhares 2 2 3 2 2 2" xfId="16961"/>
    <cellStyle name="Separador de milhares 2 2 3 2 3" xfId="16962"/>
    <cellStyle name="Separador de milhares 2 2 3 3" xfId="1732"/>
    <cellStyle name="Separador de milhares 2 2 3 3 2" xfId="16963"/>
    <cellStyle name="Separador de milhares 2 2 3 3 2 2" xfId="16964"/>
    <cellStyle name="Separador de milhares 2 2 3 3 3" xfId="16965"/>
    <cellStyle name="Separador de milhares 2 2 3 4" xfId="1733"/>
    <cellStyle name="Separador de milhares 2 2 3 4 2" xfId="16966"/>
    <cellStyle name="Separador de milhares 2 2 3 4 2 2" xfId="16967"/>
    <cellStyle name="Separador de milhares 2 2 3 4 3" xfId="16968"/>
    <cellStyle name="Separador de milhares 2 2 3 5" xfId="1734"/>
    <cellStyle name="Separador de milhares 2 2 3 5 2" xfId="16969"/>
    <cellStyle name="Separador de milhares 2 2 3 5 2 2" xfId="16970"/>
    <cellStyle name="Separador de milhares 2 2 3 5 3" xfId="16971"/>
    <cellStyle name="Separador de milhares 2 2 3 6" xfId="1735"/>
    <cellStyle name="Separador de milhares 2 2 3 6 2" xfId="16972"/>
    <cellStyle name="Separador de milhares 2 2 3 6 2 2" xfId="16973"/>
    <cellStyle name="Separador de milhares 2 2 3 6 3" xfId="16974"/>
    <cellStyle name="Separador de milhares 2 2 3 7" xfId="1736"/>
    <cellStyle name="Separador de milhares 2 2 3 7 2" xfId="16975"/>
    <cellStyle name="Separador de milhares 2 2 3 7 2 2" xfId="16976"/>
    <cellStyle name="Separador de milhares 2 2 3 7 3" xfId="16977"/>
    <cellStyle name="Separador de milhares 2 2 3 8" xfId="1737"/>
    <cellStyle name="Separador de milhares 2 2 3 8 2" xfId="16978"/>
    <cellStyle name="Separador de milhares 2 2 3 8 2 2" xfId="16979"/>
    <cellStyle name="Separador de milhares 2 2 3 8 3" xfId="16980"/>
    <cellStyle name="Separador de milhares 2 2 3 9" xfId="1738"/>
    <cellStyle name="Separador de milhares 2 2 3 9 2" xfId="16981"/>
    <cellStyle name="Separador de milhares 2 2 3 9 2 2" xfId="16982"/>
    <cellStyle name="Separador de milhares 2 2 3 9 3" xfId="16983"/>
    <cellStyle name="Separador de milhares 2 2 4" xfId="1739"/>
    <cellStyle name="Separador de milhares 2 2 4 2" xfId="16984"/>
    <cellStyle name="Separador de milhares 2 2 4 2 2" xfId="16985"/>
    <cellStyle name="Separador de milhares 2 2 4 3" xfId="16986"/>
    <cellStyle name="Separador de milhares 2 2 5" xfId="1740"/>
    <cellStyle name="Separador de milhares 2 2 5 2" xfId="16987"/>
    <cellStyle name="Separador de milhares 2 2 5 2 2" xfId="16988"/>
    <cellStyle name="Separador de milhares 2 2 5 3" xfId="16989"/>
    <cellStyle name="Separador de milhares 2 2 6" xfId="1741"/>
    <cellStyle name="Separador de milhares 2 2 6 2" xfId="16990"/>
    <cellStyle name="Separador de milhares 2 2 6 2 2" xfId="16991"/>
    <cellStyle name="Separador de milhares 2 2 6 3" xfId="16992"/>
    <cellStyle name="Separador de milhares 2 2 7" xfId="1742"/>
    <cellStyle name="Separador de milhares 2 2 7 2" xfId="16993"/>
    <cellStyle name="Separador de milhares 2 2 7 2 2" xfId="16994"/>
    <cellStyle name="Separador de milhares 2 2 7 3" xfId="16995"/>
    <cellStyle name="Separador de milhares 2 2 8" xfId="1743"/>
    <cellStyle name="Separador de milhares 2 2 8 2" xfId="16996"/>
    <cellStyle name="Separador de milhares 2 2 8 2 2" xfId="16997"/>
    <cellStyle name="Separador de milhares 2 2 8 3" xfId="16998"/>
    <cellStyle name="Separador de milhares 2 2 9" xfId="1744"/>
    <cellStyle name="Separador de milhares 2 2 9 2" xfId="16999"/>
    <cellStyle name="Separador de milhares 2 2 9 2 2" xfId="17000"/>
    <cellStyle name="Separador de milhares 2 2 9 3" xfId="17001"/>
    <cellStyle name="Separador de milhares 2 2_base (2)" xfId="1745"/>
    <cellStyle name="Separador de milhares 2 3" xfId="1746"/>
    <cellStyle name="Separador de milhares 2 3 2" xfId="1747"/>
    <cellStyle name="Separador de milhares 2 3 2 2" xfId="17002"/>
    <cellStyle name="Separador de milhares 2 3 2 2 2" xfId="17003"/>
    <cellStyle name="Separador de milhares 2 3 2 3" xfId="17004"/>
    <cellStyle name="Separador de milhares 2 3 3" xfId="1748"/>
    <cellStyle name="Separador de milhares 2 3 3 2" xfId="17005"/>
    <cellStyle name="Separador de milhares 2 3 3 2 2" xfId="17006"/>
    <cellStyle name="Separador de milhares 2 3 3 3" xfId="17007"/>
    <cellStyle name="Separador de milhares 2 3 4" xfId="17008"/>
    <cellStyle name="Separador de milhares 2 3 4 2" xfId="17009"/>
    <cellStyle name="Separador de milhares 2 3 5" xfId="17010"/>
    <cellStyle name="Separador de milhares 2 3_base (2)" xfId="1749"/>
    <cellStyle name="Separador de milhares 2 4" xfId="1750"/>
    <cellStyle name="Separador de milhares 2 4 2" xfId="1751"/>
    <cellStyle name="Separador de milhares 2 4 2 2" xfId="17011"/>
    <cellStyle name="Separador de milhares 2 4 2 2 2" xfId="17012"/>
    <cellStyle name="Separador de milhares 2 4 2 3" xfId="17013"/>
    <cellStyle name="Separador de milhares 2 4 3" xfId="1752"/>
    <cellStyle name="Separador de milhares 2 4 4" xfId="17014"/>
    <cellStyle name="Separador de milhares 2 4 4 2" xfId="17015"/>
    <cellStyle name="Separador de milhares 2 4 5" xfId="17016"/>
    <cellStyle name="Separador de milhares 2 4_base (2)" xfId="1753"/>
    <cellStyle name="Separador de milhares 2 5" xfId="1754"/>
    <cellStyle name="Separador de milhares 2 5 2" xfId="1755"/>
    <cellStyle name="Separador de milhares 2 5 2 2" xfId="17017"/>
    <cellStyle name="Separador de milhares 2 5 2 2 2" xfId="17018"/>
    <cellStyle name="Separador de milhares 2 5 2 3" xfId="17019"/>
    <cellStyle name="Separador de milhares 2 5 3" xfId="1756"/>
    <cellStyle name="Separador de milhares 2 5 4" xfId="17020"/>
    <cellStyle name="Separador de milhares 2 5 4 2" xfId="17021"/>
    <cellStyle name="Separador de milhares 2 5 5" xfId="17022"/>
    <cellStyle name="Separador de milhares 2 5_base (2)" xfId="1757"/>
    <cellStyle name="Separador de milhares 2 6" xfId="1758"/>
    <cellStyle name="Separador de milhares 2 6 2" xfId="1759"/>
    <cellStyle name="Separador de milhares 2 6 2 2" xfId="17023"/>
    <cellStyle name="Separador de milhares 2 6 2 2 2" xfId="17024"/>
    <cellStyle name="Separador de milhares 2 6 2 3" xfId="17025"/>
    <cellStyle name="Separador de milhares 2 6 3" xfId="1760"/>
    <cellStyle name="Separador de milhares 2 6_base (2)" xfId="1761"/>
    <cellStyle name="Separador de milhares 2 7" xfId="1762"/>
    <cellStyle name="Separador de milhares 2 7 2" xfId="1763"/>
    <cellStyle name="Separador de milhares 2 7 2 2" xfId="17026"/>
    <cellStyle name="Separador de milhares 2 7 2 2 2" xfId="17027"/>
    <cellStyle name="Separador de milhares 2 7 2 3" xfId="17028"/>
    <cellStyle name="Separador de milhares 2 7 3" xfId="1764"/>
    <cellStyle name="Separador de milhares 2 7_base (2)" xfId="1765"/>
    <cellStyle name="Separador de milhares 2 8" xfId="1766"/>
    <cellStyle name="Separador de milhares 2 8 2" xfId="1767"/>
    <cellStyle name="Separador de milhares 2 8 2 2" xfId="17029"/>
    <cellStyle name="Separador de milhares 2 8 2 2 2" xfId="17030"/>
    <cellStyle name="Separador de milhares 2 8 2 3" xfId="17031"/>
    <cellStyle name="Separador de milhares 2 8 3" xfId="1768"/>
    <cellStyle name="Separador de milhares 2 8 3 2" xfId="17032"/>
    <cellStyle name="Separador de milhares 2 8 3 2 2" xfId="17033"/>
    <cellStyle name="Separador de milhares 2 8 3 3" xfId="17034"/>
    <cellStyle name="Separador de milhares 2 8 4" xfId="17035"/>
    <cellStyle name="Separador de milhares 2 8 4 2" xfId="17036"/>
    <cellStyle name="Separador de milhares 2 8 5" xfId="17037"/>
    <cellStyle name="Separador de milhares 2 8_base (2)" xfId="1769"/>
    <cellStyle name="Separador de milhares 2 9" xfId="1770"/>
    <cellStyle name="Separador de milhares 2_4. Fab_Contas a Receber" xfId="17038"/>
    <cellStyle name="Separador de milhares 20" xfId="17039"/>
    <cellStyle name="Separador de milhares 21" xfId="17040"/>
    <cellStyle name="Separador de milhares 22" xfId="17041"/>
    <cellStyle name="Separador de milhares 23" xfId="17042"/>
    <cellStyle name="Separador de milhares 24" xfId="17043"/>
    <cellStyle name="Separador de milhares 25" xfId="17044"/>
    <cellStyle name="Separador de milhares 26" xfId="17045"/>
    <cellStyle name="Separador de milhares 27" xfId="17046"/>
    <cellStyle name="Separador de milhares 28" xfId="17047"/>
    <cellStyle name="Separador de milhares 29" xfId="17048"/>
    <cellStyle name="Separador de milhares 3" xfId="1771"/>
    <cellStyle name="Separador de milhares 3 10" xfId="1772"/>
    <cellStyle name="Separador de milhares 3 10 2" xfId="17049"/>
    <cellStyle name="Separador de milhares 3 10 2 2" xfId="17050"/>
    <cellStyle name="Separador de milhares 3 10 3" xfId="17051"/>
    <cellStyle name="Separador de milhares 3 11" xfId="1773"/>
    <cellStyle name="Separador de milhares 3 11 2" xfId="17052"/>
    <cellStyle name="Separador de milhares 3 11 2 2" xfId="17053"/>
    <cellStyle name="Separador de milhares 3 11 3" xfId="17054"/>
    <cellStyle name="Separador de milhares 3 12" xfId="1774"/>
    <cellStyle name="Separador de milhares 3 12 2" xfId="17055"/>
    <cellStyle name="Separador de milhares 3 12 2 2" xfId="17056"/>
    <cellStyle name="Separador de milhares 3 12 3" xfId="17057"/>
    <cellStyle name="Separador de milhares 3 13" xfId="17058"/>
    <cellStyle name="Separador de milhares 3 13 2" xfId="17059"/>
    <cellStyle name="Separador de milhares 3 13 2 2" xfId="17060"/>
    <cellStyle name="Separador de milhares 3 13 3" xfId="17061"/>
    <cellStyle name="Separador de milhares 3 14" xfId="17062"/>
    <cellStyle name="Separador de milhares 3 14 2" xfId="17063"/>
    <cellStyle name="Separador de milhares 3 14 2 2" xfId="17064"/>
    <cellStyle name="Separador de milhares 3 14 3" xfId="17065"/>
    <cellStyle name="Separador de milhares 3 15" xfId="17066"/>
    <cellStyle name="Separador de milhares 3 15 2" xfId="17067"/>
    <cellStyle name="Separador de milhares 3 15 2 2" xfId="17068"/>
    <cellStyle name="Separador de milhares 3 15 3" xfId="17069"/>
    <cellStyle name="Separador de milhares 3 16" xfId="17070"/>
    <cellStyle name="Separador de milhares 3 16 2" xfId="17071"/>
    <cellStyle name="Separador de milhares 3 16 2 2" xfId="17072"/>
    <cellStyle name="Separador de milhares 3 16 3" xfId="17073"/>
    <cellStyle name="Separador de milhares 3 17" xfId="17074"/>
    <cellStyle name="Separador de milhares 3 17 2" xfId="17075"/>
    <cellStyle name="Separador de milhares 3 17 2 2" xfId="17076"/>
    <cellStyle name="Separador de milhares 3 17 3" xfId="17077"/>
    <cellStyle name="Separador de milhares 3 18" xfId="17078"/>
    <cellStyle name="Separador de milhares 3 18 2" xfId="17079"/>
    <cellStyle name="Separador de milhares 3 19" xfId="17080"/>
    <cellStyle name="Separador de milhares 3 2" xfId="1775"/>
    <cellStyle name="Separador de milhares 3 2 10" xfId="1776"/>
    <cellStyle name="Separador de milhares 3 2 10 2" xfId="17081"/>
    <cellStyle name="Separador de milhares 3 2 10 2 2" xfId="17082"/>
    <cellStyle name="Separador de milhares 3 2 10 3" xfId="17083"/>
    <cellStyle name="Separador de milhares 3 2 11" xfId="17084"/>
    <cellStyle name="Separador de milhares 3 2 11 2" xfId="17085"/>
    <cellStyle name="Separador de milhares 3 2 12" xfId="17086"/>
    <cellStyle name="Separador de milhares 3 2 2" xfId="1777"/>
    <cellStyle name="Separador de milhares 3 2 2 2" xfId="17087"/>
    <cellStyle name="Separador de milhares 3 2 2 2 2" xfId="17088"/>
    <cellStyle name="Separador de milhares 3 2 3" xfId="1778"/>
    <cellStyle name="Separador de milhares 3 2 3 2" xfId="17089"/>
    <cellStyle name="Separador de milhares 3 2 3 2 2" xfId="17090"/>
    <cellStyle name="Separador de milhares 3 2 3 3" xfId="17091"/>
    <cellStyle name="Separador de milhares 3 2 4" xfId="1779"/>
    <cellStyle name="Separador de milhares 3 2 4 2" xfId="17092"/>
    <cellStyle name="Separador de milhares 3 2 4 2 2" xfId="17093"/>
    <cellStyle name="Separador de milhares 3 2 4 3" xfId="17094"/>
    <cellStyle name="Separador de milhares 3 2 5" xfId="1780"/>
    <cellStyle name="Separador de milhares 3 2 5 2" xfId="17095"/>
    <cellStyle name="Separador de milhares 3 2 5 2 2" xfId="17096"/>
    <cellStyle name="Separador de milhares 3 2 5 3" xfId="17097"/>
    <cellStyle name="Separador de milhares 3 2 6" xfId="1781"/>
    <cellStyle name="Separador de milhares 3 2 6 2" xfId="17098"/>
    <cellStyle name="Separador de milhares 3 2 6 2 2" xfId="17099"/>
    <cellStyle name="Separador de milhares 3 2 6 3" xfId="17100"/>
    <cellStyle name="Separador de milhares 3 2 7" xfId="1782"/>
    <cellStyle name="Separador de milhares 3 2 7 2" xfId="17101"/>
    <cellStyle name="Separador de milhares 3 2 7 2 2" xfId="17102"/>
    <cellStyle name="Separador de milhares 3 2 7 3" xfId="17103"/>
    <cellStyle name="Separador de milhares 3 2 8" xfId="1783"/>
    <cellStyle name="Separador de milhares 3 2 8 2" xfId="17104"/>
    <cellStyle name="Separador de milhares 3 2 8 2 2" xfId="17105"/>
    <cellStyle name="Separador de milhares 3 2 8 3" xfId="17106"/>
    <cellStyle name="Separador de milhares 3 2 9" xfId="1784"/>
    <cellStyle name="Separador de milhares 3 2 9 2" xfId="17107"/>
    <cellStyle name="Separador de milhares 3 2 9 2 2" xfId="17108"/>
    <cellStyle name="Separador de milhares 3 2 9 3" xfId="17109"/>
    <cellStyle name="Separador de milhares 3 3" xfId="1785"/>
    <cellStyle name="Separador de milhares 3 3 10" xfId="1786"/>
    <cellStyle name="Separador de milhares 3 3 10 2" xfId="17110"/>
    <cellStyle name="Separador de milhares 3 3 10 2 2" xfId="17111"/>
    <cellStyle name="Separador de milhares 3 3 10 3" xfId="17112"/>
    <cellStyle name="Separador de milhares 3 3 11" xfId="17113"/>
    <cellStyle name="Separador de milhares 3 3 11 2" xfId="17114"/>
    <cellStyle name="Separador de milhares 3 3 12" xfId="17115"/>
    <cellStyle name="Separador de milhares 3 3 2" xfId="1787"/>
    <cellStyle name="Separador de milhares 3 3 2 2" xfId="17116"/>
    <cellStyle name="Separador de milhares 3 3 2 2 2" xfId="17117"/>
    <cellStyle name="Separador de milhares 3 3 2 3" xfId="17118"/>
    <cellStyle name="Separador de milhares 3 3 3" xfId="1788"/>
    <cellStyle name="Separador de milhares 3 3 3 2" xfId="17119"/>
    <cellStyle name="Separador de milhares 3 3 3 2 2" xfId="17120"/>
    <cellStyle name="Separador de milhares 3 3 3 3" xfId="17121"/>
    <cellStyle name="Separador de milhares 3 3 4" xfId="1789"/>
    <cellStyle name="Separador de milhares 3 3 4 2" xfId="17122"/>
    <cellStyle name="Separador de milhares 3 3 4 2 2" xfId="17123"/>
    <cellStyle name="Separador de milhares 3 3 4 3" xfId="17124"/>
    <cellStyle name="Separador de milhares 3 3 5" xfId="1790"/>
    <cellStyle name="Separador de milhares 3 3 5 2" xfId="17125"/>
    <cellStyle name="Separador de milhares 3 3 5 2 2" xfId="17126"/>
    <cellStyle name="Separador de milhares 3 3 5 3" xfId="17127"/>
    <cellStyle name="Separador de milhares 3 3 6" xfId="1791"/>
    <cellStyle name="Separador de milhares 3 3 6 2" xfId="17128"/>
    <cellStyle name="Separador de milhares 3 3 6 2 2" xfId="17129"/>
    <cellStyle name="Separador de milhares 3 3 6 3" xfId="17130"/>
    <cellStyle name="Separador de milhares 3 3 7" xfId="1792"/>
    <cellStyle name="Separador de milhares 3 3 7 2" xfId="17131"/>
    <cellStyle name="Separador de milhares 3 3 7 2 2" xfId="17132"/>
    <cellStyle name="Separador de milhares 3 3 7 3" xfId="17133"/>
    <cellStyle name="Separador de milhares 3 3 8" xfId="1793"/>
    <cellStyle name="Separador de milhares 3 3 8 2" xfId="17134"/>
    <cellStyle name="Separador de milhares 3 3 8 2 2" xfId="17135"/>
    <cellStyle name="Separador de milhares 3 3 8 3" xfId="17136"/>
    <cellStyle name="Separador de milhares 3 3 9" xfId="1794"/>
    <cellStyle name="Separador de milhares 3 3 9 2" xfId="17137"/>
    <cellStyle name="Separador de milhares 3 3 9 2 2" xfId="17138"/>
    <cellStyle name="Separador de milhares 3 3 9 3" xfId="17139"/>
    <cellStyle name="Separador de milhares 3 4" xfId="1795"/>
    <cellStyle name="Separador de milhares 3 4 2" xfId="2602"/>
    <cellStyle name="Separador de milhares 3 4 2 2" xfId="17140"/>
    <cellStyle name="Separador de milhares 3 4 2 2 2" xfId="17141"/>
    <cellStyle name="Separador de milhares 3 4 2 3" xfId="17142"/>
    <cellStyle name="Separador de milhares 3 4 3" xfId="2603"/>
    <cellStyle name="Separador de milhares 3 4 3 2" xfId="17143"/>
    <cellStyle name="Separador de milhares 3 4 3 2 2" xfId="17144"/>
    <cellStyle name="Separador de milhares 3 4 3 3" xfId="17145"/>
    <cellStyle name="Separador de milhares 3 4 4" xfId="17146"/>
    <cellStyle name="Separador de milhares 3 4 4 2" xfId="17147"/>
    <cellStyle name="Separador de milhares 3 4 5" xfId="17148"/>
    <cellStyle name="Separador de milhares 3 5" xfId="1796"/>
    <cellStyle name="Separador de milhares 3 5 2" xfId="17149"/>
    <cellStyle name="Separador de milhares 3 5 2 2" xfId="17150"/>
    <cellStyle name="Separador de milhares 3 5 3" xfId="17151"/>
    <cellStyle name="Separador de milhares 3 6" xfId="1797"/>
    <cellStyle name="Separador de milhares 3 6 2" xfId="17152"/>
    <cellStyle name="Separador de milhares 3 6 2 2" xfId="17153"/>
    <cellStyle name="Separador de milhares 3 6 3" xfId="17154"/>
    <cellStyle name="Separador de milhares 3 7" xfId="1798"/>
    <cellStyle name="Separador de milhares 3 7 2" xfId="17155"/>
    <cellStyle name="Separador de milhares 3 7 2 2" xfId="17156"/>
    <cellStyle name="Separador de milhares 3 7 3" xfId="17157"/>
    <cellStyle name="Separador de milhares 3 8" xfId="1799"/>
    <cellStyle name="Separador de milhares 3 8 2" xfId="17158"/>
    <cellStyle name="Separador de milhares 3 8 2 2" xfId="17159"/>
    <cellStyle name="Separador de milhares 3 8 3" xfId="17160"/>
    <cellStyle name="Separador de milhares 3 9" xfId="1800"/>
    <cellStyle name="Separador de milhares 3 9 2" xfId="17161"/>
    <cellStyle name="Separador de milhares 3 9 2 2" xfId="17162"/>
    <cellStyle name="Separador de milhares 3 9 3" xfId="17163"/>
    <cellStyle name="Separador de milhares 3_4. Fab_Contas a Receber" xfId="17164"/>
    <cellStyle name="Separador de milhares 30" xfId="17165"/>
    <cellStyle name="Separador de milhares 31" xfId="17166"/>
    <cellStyle name="Separador de milhares 32" xfId="17167"/>
    <cellStyle name="Separador de milhares 33" xfId="17168"/>
    <cellStyle name="Separador de milhares 34" xfId="17169"/>
    <cellStyle name="Separador de milhares 35" xfId="17170"/>
    <cellStyle name="Separador de milhares 36" xfId="17171"/>
    <cellStyle name="Separador de milhares 37" xfId="17172"/>
    <cellStyle name="Separador de milhares 38" xfId="17173"/>
    <cellStyle name="Separador de milhares 39" xfId="17174"/>
    <cellStyle name="Separador de milhares 4" xfId="1801"/>
    <cellStyle name="Separador de milhares 4 10" xfId="1802"/>
    <cellStyle name="Separador de milhares 4 10 2" xfId="17175"/>
    <cellStyle name="Separador de milhares 4 10 2 2" xfId="17176"/>
    <cellStyle name="Separador de milhares 4 10 3" xfId="17177"/>
    <cellStyle name="Separador de milhares 4 11" xfId="17178"/>
    <cellStyle name="Separador de milhares 4 11 2" xfId="17179"/>
    <cellStyle name="Separador de milhares 4 11 2 2" xfId="17180"/>
    <cellStyle name="Separador de milhares 4 11 3" xfId="17181"/>
    <cellStyle name="Separador de milhares 4 12" xfId="17182"/>
    <cellStyle name="Separador de milhares 4 12 2" xfId="17183"/>
    <cellStyle name="Separador de milhares 4 12 2 2" xfId="17184"/>
    <cellStyle name="Separador de milhares 4 12 3" xfId="17185"/>
    <cellStyle name="Separador de milhares 4 13" xfId="17186"/>
    <cellStyle name="Separador de milhares 4 13 2" xfId="17187"/>
    <cellStyle name="Separador de milhares 4 13 2 2" xfId="17188"/>
    <cellStyle name="Separador de milhares 4 13 3" xfId="17189"/>
    <cellStyle name="Separador de milhares 4 14" xfId="17190"/>
    <cellStyle name="Separador de milhares 4 14 2" xfId="17191"/>
    <cellStyle name="Separador de milhares 4 14 2 2" xfId="17192"/>
    <cellStyle name="Separador de milhares 4 14 3" xfId="17193"/>
    <cellStyle name="Separador de milhares 4 15" xfId="17194"/>
    <cellStyle name="Separador de milhares 4 15 2" xfId="17195"/>
    <cellStyle name="Separador de milhares 4 15 2 2" xfId="17196"/>
    <cellStyle name="Separador de milhares 4 15 3" xfId="17197"/>
    <cellStyle name="Separador de milhares 4 16" xfId="17198"/>
    <cellStyle name="Separador de milhares 4 16 2" xfId="17199"/>
    <cellStyle name="Separador de milhares 4 16 2 2" xfId="17200"/>
    <cellStyle name="Separador de milhares 4 16 3" xfId="17201"/>
    <cellStyle name="Separador de milhares 4 17" xfId="17202"/>
    <cellStyle name="Separador de milhares 4 17 2" xfId="17203"/>
    <cellStyle name="Separador de milhares 4 18" xfId="17204"/>
    <cellStyle name="Separador de milhares 4 2" xfId="1803"/>
    <cellStyle name="Separador de milhares 4 2 2" xfId="2604"/>
    <cellStyle name="Separador de milhares 4 2 2 2" xfId="17205"/>
    <cellStyle name="Separador de milhares 4 2 2 2 2" xfId="17206"/>
    <cellStyle name="Separador de milhares 4 2 2 3" xfId="17207"/>
    <cellStyle name="Separador de milhares 4 2 3" xfId="2605"/>
    <cellStyle name="Separador de milhares 4 2 3 2" xfId="17208"/>
    <cellStyle name="Separador de milhares 4 2 3 2 2" xfId="17209"/>
    <cellStyle name="Separador de milhares 4 2 3 3" xfId="17210"/>
    <cellStyle name="Separador de milhares 4 2 4" xfId="17211"/>
    <cellStyle name="Separador de milhares 4 2 4 2" xfId="17212"/>
    <cellStyle name="Separador de milhares 4 2 5" xfId="17213"/>
    <cellStyle name="Separador de milhares 4 3" xfId="1804"/>
    <cellStyle name="Separador de milhares 4 3 2" xfId="17214"/>
    <cellStyle name="Separador de milhares 4 3 2 2" xfId="17215"/>
    <cellStyle name="Separador de milhares 4 3 3" xfId="17216"/>
    <cellStyle name="Separador de milhares 4 4" xfId="1805"/>
    <cellStyle name="Separador de milhares 4 4 2" xfId="17217"/>
    <cellStyle name="Separador de milhares 4 4 2 2" xfId="17218"/>
    <cellStyle name="Separador de milhares 4 4 3" xfId="17219"/>
    <cellStyle name="Separador de milhares 4 5" xfId="1806"/>
    <cellStyle name="Separador de milhares 4 5 2" xfId="17220"/>
    <cellStyle name="Separador de milhares 4 5 2 2" xfId="17221"/>
    <cellStyle name="Separador de milhares 4 5 3" xfId="17222"/>
    <cellStyle name="Separador de milhares 4 6" xfId="1807"/>
    <cellStyle name="Separador de milhares 4 6 2" xfId="17223"/>
    <cellStyle name="Separador de milhares 4 6 2 2" xfId="17224"/>
    <cellStyle name="Separador de milhares 4 6 3" xfId="17225"/>
    <cellStyle name="Separador de milhares 4 7" xfId="1808"/>
    <cellStyle name="Separador de milhares 4 7 2" xfId="17226"/>
    <cellStyle name="Separador de milhares 4 7 2 2" xfId="17227"/>
    <cellStyle name="Separador de milhares 4 7 3" xfId="17228"/>
    <cellStyle name="Separador de milhares 4 8" xfId="1809"/>
    <cellStyle name="Separador de milhares 4 8 2" xfId="17229"/>
    <cellStyle name="Separador de milhares 4 8 2 2" xfId="17230"/>
    <cellStyle name="Separador de milhares 4 8 3" xfId="17231"/>
    <cellStyle name="Separador de milhares 4 9" xfId="1810"/>
    <cellStyle name="Separador de milhares 4 9 2" xfId="17232"/>
    <cellStyle name="Separador de milhares 4 9 2 2" xfId="17233"/>
    <cellStyle name="Separador de milhares 4 9 3" xfId="17234"/>
    <cellStyle name="Separador de milhares 4_4. Fab_Contas a Receber" xfId="17235"/>
    <cellStyle name="Separador de milhares 40" xfId="17236"/>
    <cellStyle name="Separador de milhares 41" xfId="17237"/>
    <cellStyle name="Separador de milhares 42" xfId="17238"/>
    <cellStyle name="Separador de milhares 43" xfId="17239"/>
    <cellStyle name="Separador de milhares 44" xfId="17240"/>
    <cellStyle name="Separador de milhares 45" xfId="17241"/>
    <cellStyle name="Separador de milhares 46" xfId="17242"/>
    <cellStyle name="Separador de milhares 47" xfId="17243"/>
    <cellStyle name="Separador de milhares 48" xfId="17244"/>
    <cellStyle name="Separador de milhares 49" xfId="17245"/>
    <cellStyle name="Separador de milhares 5" xfId="1811"/>
    <cellStyle name="Separador de milhares 5 10" xfId="1812"/>
    <cellStyle name="Separador de milhares 5 10 2" xfId="17246"/>
    <cellStyle name="Separador de milhares 5 10 2 2" xfId="17247"/>
    <cellStyle name="Separador de milhares 5 10 3" xfId="17248"/>
    <cellStyle name="Separador de milhares 5 11" xfId="1813"/>
    <cellStyle name="Separador de milhares 5 11 2" xfId="17249"/>
    <cellStyle name="Separador de milhares 5 11 2 2" xfId="17250"/>
    <cellStyle name="Separador de milhares 5 11 3" xfId="17251"/>
    <cellStyle name="Separador de milhares 5 12" xfId="17252"/>
    <cellStyle name="Separador de milhares 5 12 2" xfId="17253"/>
    <cellStyle name="Separador de milhares 5 12 2 2" xfId="17254"/>
    <cellStyle name="Separador de milhares 5 12 3" xfId="17255"/>
    <cellStyle name="Separador de milhares 5 13" xfId="17256"/>
    <cellStyle name="Separador de milhares 5 13 2" xfId="17257"/>
    <cellStyle name="Separador de milhares 5 13 2 2" xfId="17258"/>
    <cellStyle name="Separador de milhares 5 13 3" xfId="17259"/>
    <cellStyle name="Separador de milhares 5 14" xfId="17260"/>
    <cellStyle name="Separador de milhares 5 14 2" xfId="17261"/>
    <cellStyle name="Separador de milhares 5 14 2 2" xfId="17262"/>
    <cellStyle name="Separador de milhares 5 14 3" xfId="17263"/>
    <cellStyle name="Separador de milhares 5 15" xfId="17264"/>
    <cellStyle name="Separador de milhares 5 15 2" xfId="17265"/>
    <cellStyle name="Separador de milhares 5 15 2 2" xfId="17266"/>
    <cellStyle name="Separador de milhares 5 15 3" xfId="17267"/>
    <cellStyle name="Separador de milhares 5 16" xfId="17268"/>
    <cellStyle name="Separador de milhares 5 16 2" xfId="17269"/>
    <cellStyle name="Separador de milhares 5 16 2 2" xfId="17270"/>
    <cellStyle name="Separador de milhares 5 16 3" xfId="17271"/>
    <cellStyle name="Separador de milhares 5 17" xfId="17272"/>
    <cellStyle name="Separador de milhares 5 17 2" xfId="17273"/>
    <cellStyle name="Separador de milhares 5 18" xfId="17274"/>
    <cellStyle name="Separador de milhares 5 2" xfId="1814"/>
    <cellStyle name="Separador de milhares 5 2 10" xfId="1815"/>
    <cellStyle name="Separador de milhares 5 2 10 2" xfId="17275"/>
    <cellStyle name="Separador de milhares 5 2 10 2 2" xfId="17276"/>
    <cellStyle name="Separador de milhares 5 2 10 3" xfId="17277"/>
    <cellStyle name="Separador de milhares 5 2 11" xfId="17278"/>
    <cellStyle name="Separador de milhares 5 2 11 2" xfId="17279"/>
    <cellStyle name="Separador de milhares 5 2 12" xfId="17280"/>
    <cellStyle name="Separador de milhares 5 2 2" xfId="1816"/>
    <cellStyle name="Separador de milhares 5 2 2 2" xfId="17281"/>
    <cellStyle name="Separador de milhares 5 2 2 2 2" xfId="17282"/>
    <cellStyle name="Separador de milhares 5 2 2 3" xfId="17283"/>
    <cellStyle name="Separador de milhares 5 2 3" xfId="1817"/>
    <cellStyle name="Separador de milhares 5 2 3 2" xfId="17284"/>
    <cellStyle name="Separador de milhares 5 2 3 2 2" xfId="17285"/>
    <cellStyle name="Separador de milhares 5 2 3 3" xfId="17286"/>
    <cellStyle name="Separador de milhares 5 2 4" xfId="1818"/>
    <cellStyle name="Separador de milhares 5 2 4 2" xfId="17287"/>
    <cellStyle name="Separador de milhares 5 2 4 2 2" xfId="17288"/>
    <cellStyle name="Separador de milhares 5 2 4 3" xfId="17289"/>
    <cellStyle name="Separador de milhares 5 2 5" xfId="1819"/>
    <cellStyle name="Separador de milhares 5 2 5 2" xfId="17290"/>
    <cellStyle name="Separador de milhares 5 2 5 2 2" xfId="17291"/>
    <cellStyle name="Separador de milhares 5 2 5 3" xfId="17292"/>
    <cellStyle name="Separador de milhares 5 2 6" xfId="1820"/>
    <cellStyle name="Separador de milhares 5 2 6 2" xfId="17293"/>
    <cellStyle name="Separador de milhares 5 2 6 2 2" xfId="17294"/>
    <cellStyle name="Separador de milhares 5 2 6 3" xfId="17295"/>
    <cellStyle name="Separador de milhares 5 2 7" xfId="1821"/>
    <cellStyle name="Separador de milhares 5 2 7 2" xfId="17296"/>
    <cellStyle name="Separador de milhares 5 2 7 2 2" xfId="17297"/>
    <cellStyle name="Separador de milhares 5 2 7 3" xfId="17298"/>
    <cellStyle name="Separador de milhares 5 2 8" xfId="1822"/>
    <cellStyle name="Separador de milhares 5 2 8 2" xfId="17299"/>
    <cellStyle name="Separador de milhares 5 2 8 2 2" xfId="17300"/>
    <cellStyle name="Separador de milhares 5 2 8 3" xfId="17301"/>
    <cellStyle name="Separador de milhares 5 2 9" xfId="1823"/>
    <cellStyle name="Separador de milhares 5 2 9 2" xfId="17302"/>
    <cellStyle name="Separador de milhares 5 2 9 2 2" xfId="17303"/>
    <cellStyle name="Separador de milhares 5 2 9 3" xfId="17304"/>
    <cellStyle name="Separador de milhares 5 3" xfId="1824"/>
    <cellStyle name="Separador de milhares 5 3 2" xfId="2606"/>
    <cellStyle name="Separador de milhares 5 3 2 2" xfId="17305"/>
    <cellStyle name="Separador de milhares 5 3 2 2 2" xfId="17306"/>
    <cellStyle name="Separador de milhares 5 3 2 3" xfId="17307"/>
    <cellStyle name="Separador de milhares 5 3 3" xfId="2607"/>
    <cellStyle name="Separador de milhares 5 3 3 2" xfId="17308"/>
    <cellStyle name="Separador de milhares 5 3 3 2 2" xfId="17309"/>
    <cellStyle name="Separador de milhares 5 3 3 3" xfId="17310"/>
    <cellStyle name="Separador de milhares 5 3 4" xfId="17311"/>
    <cellStyle name="Separador de milhares 5 3 4 2" xfId="17312"/>
    <cellStyle name="Separador de milhares 5 3 5" xfId="17313"/>
    <cellStyle name="Separador de milhares 5 4" xfId="1825"/>
    <cellStyle name="Separador de milhares 5 4 2" xfId="17314"/>
    <cellStyle name="Separador de milhares 5 4 2 2" xfId="17315"/>
    <cellStyle name="Separador de milhares 5 4 3" xfId="17316"/>
    <cellStyle name="Separador de milhares 5 5" xfId="1826"/>
    <cellStyle name="Separador de milhares 5 5 2" xfId="17317"/>
    <cellStyle name="Separador de milhares 5 5 2 2" xfId="17318"/>
    <cellStyle name="Separador de milhares 5 5 3" xfId="17319"/>
    <cellStyle name="Separador de milhares 5 6" xfId="1827"/>
    <cellStyle name="Separador de milhares 5 6 2" xfId="17320"/>
    <cellStyle name="Separador de milhares 5 6 2 2" xfId="17321"/>
    <cellStyle name="Separador de milhares 5 6 3" xfId="17322"/>
    <cellStyle name="Separador de milhares 5 7" xfId="1828"/>
    <cellStyle name="Separador de milhares 5 7 2" xfId="17323"/>
    <cellStyle name="Separador de milhares 5 7 2 2" xfId="17324"/>
    <cellStyle name="Separador de milhares 5 7 3" xfId="17325"/>
    <cellStyle name="Separador de milhares 5 8" xfId="1829"/>
    <cellStyle name="Separador de milhares 5 8 2" xfId="17326"/>
    <cellStyle name="Separador de milhares 5 8 2 2" xfId="17327"/>
    <cellStyle name="Separador de milhares 5 8 3" xfId="17328"/>
    <cellStyle name="Separador de milhares 5 9" xfId="1830"/>
    <cellStyle name="Separador de milhares 5 9 2" xfId="17329"/>
    <cellStyle name="Separador de milhares 5 9 2 2" xfId="17330"/>
    <cellStyle name="Separador de milhares 5 9 3" xfId="17331"/>
    <cellStyle name="Separador de milhares 5_base (2)" xfId="1831"/>
    <cellStyle name="Separador de milhares 50" xfId="17332"/>
    <cellStyle name="Separador de milhares 51" xfId="17333"/>
    <cellStyle name="Separador de milhares 52" xfId="17334"/>
    <cellStyle name="Separador de milhares 53" xfId="17335"/>
    <cellStyle name="Separador de milhares 54" xfId="17336"/>
    <cellStyle name="Separador de milhares 55" xfId="17337"/>
    <cellStyle name="Separador de milhares 56" xfId="17338"/>
    <cellStyle name="Separador de milhares 57" xfId="17339"/>
    <cellStyle name="Separador de milhares 57 2" xfId="17340"/>
    <cellStyle name="Separador de milhares 57 2 2" xfId="17341"/>
    <cellStyle name="Separador de milhares 57 3" xfId="17342"/>
    <cellStyle name="Separador de milhares 58" xfId="17343"/>
    <cellStyle name="Separador de milhares 58 2" xfId="17344"/>
    <cellStyle name="Separador de milhares 58 2 2" xfId="17345"/>
    <cellStyle name="Separador de milhares 58 3" xfId="17346"/>
    <cellStyle name="Separador de milhares 6" xfId="1832"/>
    <cellStyle name="Separador de milhares 6 10" xfId="1833"/>
    <cellStyle name="Separador de milhares 6 2" xfId="1834"/>
    <cellStyle name="Separador de milhares 6 2 2" xfId="2608"/>
    <cellStyle name="Separador de milhares 6 2 2 2" xfId="17347"/>
    <cellStyle name="Separador de milhares 6 2 2 2 2" xfId="17348"/>
    <cellStyle name="Separador de milhares 6 2 2 3" xfId="17349"/>
    <cellStyle name="Separador de milhares 6 2 3" xfId="2609"/>
    <cellStyle name="Separador de milhares 6 2 3 2" xfId="17350"/>
    <cellStyle name="Separador de milhares 6 2 3 2 2" xfId="17351"/>
    <cellStyle name="Separador de milhares 6 2 3 3" xfId="17352"/>
    <cellStyle name="Separador de milhares 6 2 4" xfId="17353"/>
    <cellStyle name="Separador de milhares 6 2 4 2" xfId="17354"/>
    <cellStyle name="Separador de milhares 6 2 5" xfId="17355"/>
    <cellStyle name="Separador de milhares 6 3" xfId="1835"/>
    <cellStyle name="Separador de milhares 6 4" xfId="1836"/>
    <cellStyle name="Separador de milhares 6 5" xfId="1837"/>
    <cellStyle name="Separador de milhares 6 6" xfId="1838"/>
    <cellStyle name="Separador de milhares 6 7" xfId="1839"/>
    <cellStyle name="Separador de milhares 6 8" xfId="1840"/>
    <cellStyle name="Separador de milhares 6 9" xfId="1841"/>
    <cellStyle name="Separador de milhares 6_Base indicadores" xfId="1842"/>
    <cellStyle name="Separador de milhares 7" xfId="1843"/>
    <cellStyle name="Separador de milhares 7 10" xfId="1844"/>
    <cellStyle name="Separador de milhares 7 10 2" xfId="17356"/>
    <cellStyle name="Separador de milhares 7 10 2 2" xfId="17357"/>
    <cellStyle name="Separador de milhares 7 10 3" xfId="17358"/>
    <cellStyle name="Separador de milhares 7 11" xfId="17359"/>
    <cellStyle name="Separador de milhares 7 11 2" xfId="17360"/>
    <cellStyle name="Separador de milhares 7 12" xfId="17361"/>
    <cellStyle name="Separador de milhares 7 2" xfId="1845"/>
    <cellStyle name="Separador de milhares 7 2 2" xfId="2610"/>
    <cellStyle name="Separador de milhares 7 2 2 2" xfId="17362"/>
    <cellStyle name="Separador de milhares 7 2 2 2 2" xfId="17363"/>
    <cellStyle name="Separador de milhares 7 2 2 3" xfId="17364"/>
    <cellStyle name="Separador de milhares 7 2 3" xfId="2611"/>
    <cellStyle name="Separador de milhares 7 2 3 2" xfId="17365"/>
    <cellStyle name="Separador de milhares 7 2 3 2 2" xfId="17366"/>
    <cellStyle name="Separador de milhares 7 2 3 3" xfId="17367"/>
    <cellStyle name="Separador de milhares 7 2 4" xfId="17368"/>
    <cellStyle name="Separador de milhares 7 2 4 2" xfId="17369"/>
    <cellStyle name="Separador de milhares 7 2 5" xfId="17370"/>
    <cellStyle name="Separador de milhares 7 3" xfId="1846"/>
    <cellStyle name="Separador de milhares 7 3 2" xfId="17371"/>
    <cellStyle name="Separador de milhares 7 3 2 2" xfId="17372"/>
    <cellStyle name="Separador de milhares 7 3 3" xfId="17373"/>
    <cellStyle name="Separador de milhares 7 4" xfId="1847"/>
    <cellStyle name="Separador de milhares 7 4 2" xfId="17374"/>
    <cellStyle name="Separador de milhares 7 4 2 2" xfId="17375"/>
    <cellStyle name="Separador de milhares 7 4 3" xfId="17376"/>
    <cellStyle name="Separador de milhares 7 5" xfId="1848"/>
    <cellStyle name="Separador de milhares 7 5 2" xfId="17377"/>
    <cellStyle name="Separador de milhares 7 5 2 2" xfId="17378"/>
    <cellStyle name="Separador de milhares 7 5 3" xfId="17379"/>
    <cellStyle name="Separador de milhares 7 6" xfId="1849"/>
    <cellStyle name="Separador de milhares 7 6 2" xfId="17380"/>
    <cellStyle name="Separador de milhares 7 6 2 2" xfId="17381"/>
    <cellStyle name="Separador de milhares 7 6 3" xfId="17382"/>
    <cellStyle name="Separador de milhares 7 7" xfId="1850"/>
    <cellStyle name="Separador de milhares 7 7 2" xfId="17383"/>
    <cellStyle name="Separador de milhares 7 7 2 2" xfId="17384"/>
    <cellStyle name="Separador de milhares 7 7 3" xfId="17385"/>
    <cellStyle name="Separador de milhares 7 8" xfId="1851"/>
    <cellStyle name="Separador de milhares 7 8 2" xfId="17386"/>
    <cellStyle name="Separador de milhares 7 8 2 2" xfId="17387"/>
    <cellStyle name="Separador de milhares 7 8 3" xfId="17388"/>
    <cellStyle name="Separador de milhares 7 9" xfId="1852"/>
    <cellStyle name="Separador de milhares 7 9 2" xfId="17389"/>
    <cellStyle name="Separador de milhares 7 9 2 2" xfId="17390"/>
    <cellStyle name="Separador de milhares 7 9 3" xfId="17391"/>
    <cellStyle name="Separador de milhares 8" xfId="1853"/>
    <cellStyle name="Separador de milhares 8 2" xfId="1854"/>
    <cellStyle name="Separador de milhares 8 2 2" xfId="2612"/>
    <cellStyle name="Separador de milhares 8 2 2 2" xfId="17392"/>
    <cellStyle name="Separador de milhares 8 2 2 2 2" xfId="17393"/>
    <cellStyle name="Separador de milhares 8 2 2 3" xfId="17394"/>
    <cellStyle name="Separador de milhares 8 2 3" xfId="2613"/>
    <cellStyle name="Separador de milhares 8 2 3 2" xfId="17395"/>
    <cellStyle name="Separador de milhares 8 2 3 2 2" xfId="17396"/>
    <cellStyle name="Separador de milhares 8 2 3 3" xfId="17397"/>
    <cellStyle name="Separador de milhares 8 2 4" xfId="17398"/>
    <cellStyle name="Separador de milhares 8 2 4 2" xfId="17399"/>
    <cellStyle name="Separador de milhares 8 2 5" xfId="17400"/>
    <cellStyle name="Separador de milhares 8 3" xfId="1855"/>
    <cellStyle name="Separador de milhares 8 3 2" xfId="17401"/>
    <cellStyle name="Separador de milhares 8 3 2 2" xfId="17402"/>
    <cellStyle name="Separador de milhares 8 3 3" xfId="17403"/>
    <cellStyle name="Separador de milhares 8 4" xfId="2614"/>
    <cellStyle name="Separador de milhares 8 4 2" xfId="17404"/>
    <cellStyle name="Separador de milhares 8 4 2 2" xfId="17405"/>
    <cellStyle name="Separador de milhares 8 4 3" xfId="17406"/>
    <cellStyle name="Separador de milhares 8 5" xfId="17407"/>
    <cellStyle name="Separador de milhares 8 5 2" xfId="17408"/>
    <cellStyle name="Separador de milhares 8 6" xfId="17409"/>
    <cellStyle name="Separador de milhares 8_base (2)" xfId="1856"/>
    <cellStyle name="Separador de milhares 9" xfId="1857"/>
    <cellStyle name="Separador de milhares 9 2" xfId="1858"/>
    <cellStyle name="Separador de milhares 9 2 2" xfId="17410"/>
    <cellStyle name="Separador de milhares 9 2 2 2" xfId="17411"/>
    <cellStyle name="Separador de milhares 9 2 3" xfId="17412"/>
    <cellStyle name="Separador de milhares 9 3" xfId="2615"/>
    <cellStyle name="Separador de milhares 9 3 2" xfId="17413"/>
    <cellStyle name="Separador de milhares 9 3 2 2" xfId="17414"/>
    <cellStyle name="Separador de milhares 9 3 3" xfId="17415"/>
    <cellStyle name="Separador de milhares 9 4" xfId="17416"/>
    <cellStyle name="Separador de milhares 9 4 2" xfId="17417"/>
    <cellStyle name="Separador de milhares 9 5" xfId="17418"/>
    <cellStyle name="Sheet Title" xfId="17419"/>
    <cellStyle name="Só linha em cima" xfId="17420"/>
    <cellStyle name="Só linha em cima 2" xfId="17421"/>
    <cellStyle name="Só linha em cima 2 2" xfId="17422"/>
    <cellStyle name="Só linha em cima 3" xfId="17423"/>
    <cellStyle name="Só linha em cima 4" xfId="17424"/>
    <cellStyle name="SSComma0" xfId="2616"/>
    <cellStyle name="SSComma0 10" xfId="17425"/>
    <cellStyle name="SSComma0 10 2" xfId="17426"/>
    <cellStyle name="SSComma0 11" xfId="17427"/>
    <cellStyle name="SSComma0 11 2" xfId="17428"/>
    <cellStyle name="SSComma0 2" xfId="2617"/>
    <cellStyle name="SSComma0 2 2" xfId="2618"/>
    <cellStyle name="SSComma0 2 2 2" xfId="17429"/>
    <cellStyle name="SSComma0 2 2 2 2" xfId="17430"/>
    <cellStyle name="SSComma0 2 2 3" xfId="17431"/>
    <cellStyle name="SSComma0 2 2 3 2" xfId="17432"/>
    <cellStyle name="SSComma0 2 2 4" xfId="17433"/>
    <cellStyle name="SSComma0 2 2 4 2" xfId="17434"/>
    <cellStyle name="SSComma0 2 2 5" xfId="17435"/>
    <cellStyle name="SSComma0 2 2 5 2" xfId="17436"/>
    <cellStyle name="SSComma0 2 3" xfId="17437"/>
    <cellStyle name="SSComma0 2 3 2" xfId="17438"/>
    <cellStyle name="SSComma0 2 4" xfId="17439"/>
    <cellStyle name="SSComma0 2 4 2" xfId="17440"/>
    <cellStyle name="SSComma0 2 5" xfId="17441"/>
    <cellStyle name="SSComma0 2 5 2" xfId="17442"/>
    <cellStyle name="SSComma0 2 6" xfId="17443"/>
    <cellStyle name="SSComma0 2 6 2" xfId="17444"/>
    <cellStyle name="SSComma0 3" xfId="2619"/>
    <cellStyle name="SSComma0 3 2" xfId="2620"/>
    <cellStyle name="SSComma0 3 2 2" xfId="17445"/>
    <cellStyle name="SSComma0 3 2 2 2" xfId="17446"/>
    <cellStyle name="SSComma0 3 2 3" xfId="17447"/>
    <cellStyle name="SSComma0 3 2 3 2" xfId="17448"/>
    <cellStyle name="SSComma0 3 2 4" xfId="17449"/>
    <cellStyle name="SSComma0 3 2 4 2" xfId="17450"/>
    <cellStyle name="SSComma0 3 2 5" xfId="17451"/>
    <cellStyle name="SSComma0 3 2 5 2" xfId="17452"/>
    <cellStyle name="SSComma0 3 3" xfId="17453"/>
    <cellStyle name="SSComma0 3 3 2" xfId="17454"/>
    <cellStyle name="SSComma0 3 4" xfId="17455"/>
    <cellStyle name="SSComma0 3 4 2" xfId="17456"/>
    <cellStyle name="SSComma0 3 5" xfId="17457"/>
    <cellStyle name="SSComma0 3 5 2" xfId="17458"/>
    <cellStyle name="SSComma0 3 6" xfId="17459"/>
    <cellStyle name="SSComma0 3 6 2" xfId="17460"/>
    <cellStyle name="SSComma0 4" xfId="2621"/>
    <cellStyle name="SSComma0 4 2" xfId="2622"/>
    <cellStyle name="SSComma0 4 2 2" xfId="17461"/>
    <cellStyle name="SSComma0 4 2 2 2" xfId="17462"/>
    <cellStyle name="SSComma0 4 2 3" xfId="17463"/>
    <cellStyle name="SSComma0 4 2 3 2" xfId="17464"/>
    <cellStyle name="SSComma0 4 2 4" xfId="17465"/>
    <cellStyle name="SSComma0 4 2 4 2" xfId="17466"/>
    <cellStyle name="SSComma0 4 2 5" xfId="17467"/>
    <cellStyle name="SSComma0 4 2 5 2" xfId="17468"/>
    <cellStyle name="SSComma0 4 3" xfId="17469"/>
    <cellStyle name="SSComma0 4 3 2" xfId="17470"/>
    <cellStyle name="SSComma0 4 4" xfId="17471"/>
    <cellStyle name="SSComma0 4 4 2" xfId="17472"/>
    <cellStyle name="SSComma0 4 5" xfId="17473"/>
    <cellStyle name="SSComma0 4 5 2" xfId="17474"/>
    <cellStyle name="SSComma0 4 6" xfId="17475"/>
    <cellStyle name="SSComma0 4 6 2" xfId="17476"/>
    <cellStyle name="SSComma0 5" xfId="2623"/>
    <cellStyle name="SSComma0 5 2" xfId="2624"/>
    <cellStyle name="SSComma0 5 2 2" xfId="17477"/>
    <cellStyle name="SSComma0 5 2 2 2" xfId="17478"/>
    <cellStyle name="SSComma0 5 2 3" xfId="17479"/>
    <cellStyle name="SSComma0 5 2 3 2" xfId="17480"/>
    <cellStyle name="SSComma0 5 2 4" xfId="17481"/>
    <cellStyle name="SSComma0 5 2 4 2" xfId="17482"/>
    <cellStyle name="SSComma0 5 2 5" xfId="17483"/>
    <cellStyle name="SSComma0 5 2 5 2" xfId="17484"/>
    <cellStyle name="SSComma0 5 3" xfId="17485"/>
    <cellStyle name="SSComma0 5 3 2" xfId="17486"/>
    <cellStyle name="SSComma0 5 4" xfId="17487"/>
    <cellStyle name="SSComma0 5 4 2" xfId="17488"/>
    <cellStyle name="SSComma0 5 5" xfId="17489"/>
    <cellStyle name="SSComma0 5 5 2" xfId="17490"/>
    <cellStyle name="SSComma0 5 6" xfId="17491"/>
    <cellStyle name="SSComma0 5 6 2" xfId="17492"/>
    <cellStyle name="SSComma0 6" xfId="2625"/>
    <cellStyle name="SSComma0 6 2" xfId="2626"/>
    <cellStyle name="SSComma0 6 2 2" xfId="17493"/>
    <cellStyle name="SSComma0 6 2 2 2" xfId="17494"/>
    <cellStyle name="SSComma0 6 2 3" xfId="17495"/>
    <cellStyle name="SSComma0 6 2 3 2" xfId="17496"/>
    <cellStyle name="SSComma0 6 2 4" xfId="17497"/>
    <cellStyle name="SSComma0 6 2 4 2" xfId="17498"/>
    <cellStyle name="SSComma0 6 2 5" xfId="17499"/>
    <cellStyle name="SSComma0 6 2 5 2" xfId="17500"/>
    <cellStyle name="SSComma0 6 3" xfId="17501"/>
    <cellStyle name="SSComma0 6 3 2" xfId="17502"/>
    <cellStyle name="SSComma0 6 4" xfId="17503"/>
    <cellStyle name="SSComma0 6 4 2" xfId="17504"/>
    <cellStyle name="SSComma0 6 5" xfId="17505"/>
    <cellStyle name="SSComma0 6 5 2" xfId="17506"/>
    <cellStyle name="SSComma0 6 6" xfId="17507"/>
    <cellStyle name="SSComma0 6 6 2" xfId="17508"/>
    <cellStyle name="SSComma0 7" xfId="2627"/>
    <cellStyle name="SSComma0 7 2" xfId="17509"/>
    <cellStyle name="SSComma0 7 2 2" xfId="17510"/>
    <cellStyle name="SSComma0 7 3" xfId="17511"/>
    <cellStyle name="SSComma0 7 3 2" xfId="17512"/>
    <cellStyle name="SSComma0 7 4" xfId="17513"/>
    <cellStyle name="SSComma0 7 4 2" xfId="17514"/>
    <cellStyle name="SSComma0 7 5" xfId="17515"/>
    <cellStyle name="SSComma0 7 5 2" xfId="17516"/>
    <cellStyle name="SSComma0 8" xfId="17517"/>
    <cellStyle name="SSComma0 8 2" xfId="17518"/>
    <cellStyle name="SSComma0 9" xfId="17519"/>
    <cellStyle name="SSComma0 9 2" xfId="17520"/>
    <cellStyle name="SSComma2" xfId="2628"/>
    <cellStyle name="SSComma2 10" xfId="17521"/>
    <cellStyle name="SSComma2 10 2" xfId="17522"/>
    <cellStyle name="SSComma2 11" xfId="17523"/>
    <cellStyle name="SSComma2 11 2" xfId="17524"/>
    <cellStyle name="SSComma2 2" xfId="2629"/>
    <cellStyle name="SSComma2 2 2" xfId="2630"/>
    <cellStyle name="SSComma2 2 2 2" xfId="17525"/>
    <cellStyle name="SSComma2 2 2 2 2" xfId="17526"/>
    <cellStyle name="SSComma2 2 2 3" xfId="17527"/>
    <cellStyle name="SSComma2 2 2 3 2" xfId="17528"/>
    <cellStyle name="SSComma2 2 2 4" xfId="17529"/>
    <cellStyle name="SSComma2 2 2 4 2" xfId="17530"/>
    <cellStyle name="SSComma2 2 2 5" xfId="17531"/>
    <cellStyle name="SSComma2 2 2 5 2" xfId="17532"/>
    <cellStyle name="SSComma2 2 3" xfId="17533"/>
    <cellStyle name="SSComma2 2 3 2" xfId="17534"/>
    <cellStyle name="SSComma2 2 4" xfId="17535"/>
    <cellStyle name="SSComma2 2 4 2" xfId="17536"/>
    <cellStyle name="SSComma2 2 5" xfId="17537"/>
    <cellStyle name="SSComma2 2 5 2" xfId="17538"/>
    <cellStyle name="SSComma2 2 6" xfId="17539"/>
    <cellStyle name="SSComma2 2 6 2" xfId="17540"/>
    <cellStyle name="SSComma2 3" xfId="2631"/>
    <cellStyle name="SSComma2 3 2" xfId="2632"/>
    <cellStyle name="SSComma2 3 2 2" xfId="17541"/>
    <cellStyle name="SSComma2 3 2 2 2" xfId="17542"/>
    <cellStyle name="SSComma2 3 2 3" xfId="17543"/>
    <cellStyle name="SSComma2 3 2 3 2" xfId="17544"/>
    <cellStyle name="SSComma2 3 2 4" xfId="17545"/>
    <cellStyle name="SSComma2 3 2 4 2" xfId="17546"/>
    <cellStyle name="SSComma2 3 2 5" xfId="17547"/>
    <cellStyle name="SSComma2 3 2 5 2" xfId="17548"/>
    <cellStyle name="SSComma2 3 3" xfId="17549"/>
    <cellStyle name="SSComma2 3 3 2" xfId="17550"/>
    <cellStyle name="SSComma2 3 4" xfId="17551"/>
    <cellStyle name="SSComma2 3 4 2" xfId="17552"/>
    <cellStyle name="SSComma2 3 5" xfId="17553"/>
    <cellStyle name="SSComma2 3 5 2" xfId="17554"/>
    <cellStyle name="SSComma2 3 6" xfId="17555"/>
    <cellStyle name="SSComma2 3 6 2" xfId="17556"/>
    <cellStyle name="SSComma2 4" xfId="2633"/>
    <cellStyle name="SSComma2 4 2" xfId="2634"/>
    <cellStyle name="SSComma2 4 2 2" xfId="17557"/>
    <cellStyle name="SSComma2 4 2 2 2" xfId="17558"/>
    <cellStyle name="SSComma2 4 2 3" xfId="17559"/>
    <cellStyle name="SSComma2 4 2 3 2" xfId="17560"/>
    <cellStyle name="SSComma2 4 2 4" xfId="17561"/>
    <cellStyle name="SSComma2 4 2 4 2" xfId="17562"/>
    <cellStyle name="SSComma2 4 2 5" xfId="17563"/>
    <cellStyle name="SSComma2 4 2 5 2" xfId="17564"/>
    <cellStyle name="SSComma2 4 3" xfId="17565"/>
    <cellStyle name="SSComma2 4 3 2" xfId="17566"/>
    <cellStyle name="SSComma2 4 4" xfId="17567"/>
    <cellStyle name="SSComma2 4 4 2" xfId="17568"/>
    <cellStyle name="SSComma2 4 5" xfId="17569"/>
    <cellStyle name="SSComma2 4 5 2" xfId="17570"/>
    <cellStyle name="SSComma2 4 6" xfId="17571"/>
    <cellStyle name="SSComma2 4 6 2" xfId="17572"/>
    <cellStyle name="SSComma2 5" xfId="2635"/>
    <cellStyle name="SSComma2 5 2" xfId="2636"/>
    <cellStyle name="SSComma2 5 2 2" xfId="17573"/>
    <cellStyle name="SSComma2 5 2 2 2" xfId="17574"/>
    <cellStyle name="SSComma2 5 2 3" xfId="17575"/>
    <cellStyle name="SSComma2 5 2 3 2" xfId="17576"/>
    <cellStyle name="SSComma2 5 2 4" xfId="17577"/>
    <cellStyle name="SSComma2 5 2 4 2" xfId="17578"/>
    <cellStyle name="SSComma2 5 2 5" xfId="17579"/>
    <cellStyle name="SSComma2 5 2 5 2" xfId="17580"/>
    <cellStyle name="SSComma2 5 3" xfId="17581"/>
    <cellStyle name="SSComma2 5 3 2" xfId="17582"/>
    <cellStyle name="SSComma2 5 4" xfId="17583"/>
    <cellStyle name="SSComma2 5 4 2" xfId="17584"/>
    <cellStyle name="SSComma2 5 5" xfId="17585"/>
    <cellStyle name="SSComma2 5 5 2" xfId="17586"/>
    <cellStyle name="SSComma2 5 6" xfId="17587"/>
    <cellStyle name="SSComma2 5 6 2" xfId="17588"/>
    <cellStyle name="SSComma2 6" xfId="2637"/>
    <cellStyle name="SSComma2 6 2" xfId="2638"/>
    <cellStyle name="SSComma2 6 2 2" xfId="17589"/>
    <cellStyle name="SSComma2 6 2 2 2" xfId="17590"/>
    <cellStyle name="SSComma2 6 2 3" xfId="17591"/>
    <cellStyle name="SSComma2 6 2 3 2" xfId="17592"/>
    <cellStyle name="SSComma2 6 2 4" xfId="17593"/>
    <cellStyle name="SSComma2 6 2 4 2" xfId="17594"/>
    <cellStyle name="SSComma2 6 2 5" xfId="17595"/>
    <cellStyle name="SSComma2 6 2 5 2" xfId="17596"/>
    <cellStyle name="SSComma2 6 3" xfId="17597"/>
    <cellStyle name="SSComma2 6 3 2" xfId="17598"/>
    <cellStyle name="SSComma2 6 4" xfId="17599"/>
    <cellStyle name="SSComma2 6 4 2" xfId="17600"/>
    <cellStyle name="SSComma2 6 5" xfId="17601"/>
    <cellStyle name="SSComma2 6 5 2" xfId="17602"/>
    <cellStyle name="SSComma2 6 6" xfId="17603"/>
    <cellStyle name="SSComma2 6 6 2" xfId="17604"/>
    <cellStyle name="SSComma2 7" xfId="2639"/>
    <cellStyle name="SSComma2 7 2" xfId="17605"/>
    <cellStyle name="SSComma2 7 2 2" xfId="17606"/>
    <cellStyle name="SSComma2 7 3" xfId="17607"/>
    <cellStyle name="SSComma2 7 3 2" xfId="17608"/>
    <cellStyle name="SSComma2 7 4" xfId="17609"/>
    <cellStyle name="SSComma2 7 4 2" xfId="17610"/>
    <cellStyle name="SSComma2 7 5" xfId="17611"/>
    <cellStyle name="SSComma2 7 5 2" xfId="17612"/>
    <cellStyle name="SSComma2 8" xfId="17613"/>
    <cellStyle name="SSComma2 8 2" xfId="17614"/>
    <cellStyle name="SSComma2 9" xfId="17615"/>
    <cellStyle name="SSComma2 9 2" xfId="17616"/>
    <cellStyle name="SSDecs3" xfId="2640"/>
    <cellStyle name="SSDecs3 10" xfId="17617"/>
    <cellStyle name="SSDecs3 10 2" xfId="17618"/>
    <cellStyle name="SSDecs3 11" xfId="17619"/>
    <cellStyle name="SSDecs3 11 2" xfId="17620"/>
    <cellStyle name="SSDecs3 2" xfId="2641"/>
    <cellStyle name="SSDecs3 2 2" xfId="2642"/>
    <cellStyle name="SSDecs3 2 2 2" xfId="17621"/>
    <cellStyle name="SSDecs3 2 2 2 2" xfId="17622"/>
    <cellStyle name="SSDecs3 2 2 3" xfId="17623"/>
    <cellStyle name="SSDecs3 2 2 3 2" xfId="17624"/>
    <cellStyle name="SSDecs3 2 2 4" xfId="17625"/>
    <cellStyle name="SSDecs3 2 2 4 2" xfId="17626"/>
    <cellStyle name="SSDecs3 2 2 5" xfId="17627"/>
    <cellStyle name="SSDecs3 2 2 5 2" xfId="17628"/>
    <cellStyle name="SSDecs3 2 3" xfId="17629"/>
    <cellStyle name="SSDecs3 2 3 2" xfId="17630"/>
    <cellStyle name="SSDecs3 2 4" xfId="17631"/>
    <cellStyle name="SSDecs3 2 4 2" xfId="17632"/>
    <cellStyle name="SSDecs3 2 5" xfId="17633"/>
    <cellStyle name="SSDecs3 2 5 2" xfId="17634"/>
    <cellStyle name="SSDecs3 2 6" xfId="17635"/>
    <cellStyle name="SSDecs3 2 6 2" xfId="17636"/>
    <cellStyle name="SSDecs3 3" xfId="2643"/>
    <cellStyle name="SSDecs3 3 2" xfId="2644"/>
    <cellStyle name="SSDecs3 3 2 2" xfId="17637"/>
    <cellStyle name="SSDecs3 3 2 2 2" xfId="17638"/>
    <cellStyle name="SSDecs3 3 2 3" xfId="17639"/>
    <cellStyle name="SSDecs3 3 2 3 2" xfId="17640"/>
    <cellStyle name="SSDecs3 3 2 4" xfId="17641"/>
    <cellStyle name="SSDecs3 3 2 4 2" xfId="17642"/>
    <cellStyle name="SSDecs3 3 2 5" xfId="17643"/>
    <cellStyle name="SSDecs3 3 2 5 2" xfId="17644"/>
    <cellStyle name="SSDecs3 3 3" xfId="17645"/>
    <cellStyle name="SSDecs3 3 3 2" xfId="17646"/>
    <cellStyle name="SSDecs3 3 4" xfId="17647"/>
    <cellStyle name="SSDecs3 3 4 2" xfId="17648"/>
    <cellStyle name="SSDecs3 3 5" xfId="17649"/>
    <cellStyle name="SSDecs3 3 5 2" xfId="17650"/>
    <cellStyle name="SSDecs3 3 6" xfId="17651"/>
    <cellStyle name="SSDecs3 3 6 2" xfId="17652"/>
    <cellStyle name="SSDecs3 4" xfId="2645"/>
    <cellStyle name="SSDecs3 4 2" xfId="2646"/>
    <cellStyle name="SSDecs3 4 2 2" xfId="17653"/>
    <cellStyle name="SSDecs3 4 2 2 2" xfId="17654"/>
    <cellStyle name="SSDecs3 4 2 3" xfId="17655"/>
    <cellStyle name="SSDecs3 4 2 3 2" xfId="17656"/>
    <cellStyle name="SSDecs3 4 2 4" xfId="17657"/>
    <cellStyle name="SSDecs3 4 2 4 2" xfId="17658"/>
    <cellStyle name="SSDecs3 4 2 5" xfId="17659"/>
    <cellStyle name="SSDecs3 4 2 5 2" xfId="17660"/>
    <cellStyle name="SSDecs3 4 3" xfId="17661"/>
    <cellStyle name="SSDecs3 4 3 2" xfId="17662"/>
    <cellStyle name="SSDecs3 4 4" xfId="17663"/>
    <cellStyle name="SSDecs3 4 4 2" xfId="17664"/>
    <cellStyle name="SSDecs3 4 5" xfId="17665"/>
    <cellStyle name="SSDecs3 4 5 2" xfId="17666"/>
    <cellStyle name="SSDecs3 4 6" xfId="17667"/>
    <cellStyle name="SSDecs3 4 6 2" xfId="17668"/>
    <cellStyle name="SSDecs3 5" xfId="2647"/>
    <cellStyle name="SSDecs3 5 2" xfId="2648"/>
    <cellStyle name="SSDecs3 5 2 2" xfId="17669"/>
    <cellStyle name="SSDecs3 5 2 2 2" xfId="17670"/>
    <cellStyle name="SSDecs3 5 2 3" xfId="17671"/>
    <cellStyle name="SSDecs3 5 2 3 2" xfId="17672"/>
    <cellStyle name="SSDecs3 5 2 4" xfId="17673"/>
    <cellStyle name="SSDecs3 5 2 4 2" xfId="17674"/>
    <cellStyle name="SSDecs3 5 2 5" xfId="17675"/>
    <cellStyle name="SSDecs3 5 2 5 2" xfId="17676"/>
    <cellStyle name="SSDecs3 5 3" xfId="17677"/>
    <cellStyle name="SSDecs3 5 3 2" xfId="17678"/>
    <cellStyle name="SSDecs3 5 4" xfId="17679"/>
    <cellStyle name="SSDecs3 5 4 2" xfId="17680"/>
    <cellStyle name="SSDecs3 5 5" xfId="17681"/>
    <cellStyle name="SSDecs3 5 5 2" xfId="17682"/>
    <cellStyle name="SSDecs3 5 6" xfId="17683"/>
    <cellStyle name="SSDecs3 5 6 2" xfId="17684"/>
    <cellStyle name="SSDecs3 6" xfId="2649"/>
    <cellStyle name="SSDecs3 6 2" xfId="2650"/>
    <cellStyle name="SSDecs3 6 2 2" xfId="17685"/>
    <cellStyle name="SSDecs3 6 2 2 2" xfId="17686"/>
    <cellStyle name="SSDecs3 6 2 3" xfId="17687"/>
    <cellStyle name="SSDecs3 6 2 3 2" xfId="17688"/>
    <cellStyle name="SSDecs3 6 2 4" xfId="17689"/>
    <cellStyle name="SSDecs3 6 2 4 2" xfId="17690"/>
    <cellStyle name="SSDecs3 6 2 5" xfId="17691"/>
    <cellStyle name="SSDecs3 6 2 5 2" xfId="17692"/>
    <cellStyle name="SSDecs3 6 3" xfId="17693"/>
    <cellStyle name="SSDecs3 6 3 2" xfId="17694"/>
    <cellStyle name="SSDecs3 6 4" xfId="17695"/>
    <cellStyle name="SSDecs3 6 4 2" xfId="17696"/>
    <cellStyle name="SSDecs3 6 5" xfId="17697"/>
    <cellStyle name="SSDecs3 6 5 2" xfId="17698"/>
    <cellStyle name="SSDecs3 6 6" xfId="17699"/>
    <cellStyle name="SSDecs3 6 6 2" xfId="17700"/>
    <cellStyle name="SSDecs3 7" xfId="2651"/>
    <cellStyle name="SSDecs3 7 2" xfId="17701"/>
    <cellStyle name="SSDecs3 7 2 2" xfId="17702"/>
    <cellStyle name="SSDecs3 7 3" xfId="17703"/>
    <cellStyle name="SSDecs3 7 3 2" xfId="17704"/>
    <cellStyle name="SSDecs3 7 4" xfId="17705"/>
    <cellStyle name="SSDecs3 7 4 2" xfId="17706"/>
    <cellStyle name="SSDecs3 7 5" xfId="17707"/>
    <cellStyle name="SSDecs3 7 5 2" xfId="17708"/>
    <cellStyle name="SSDecs3 8" xfId="17709"/>
    <cellStyle name="SSDecs3 8 2" xfId="17710"/>
    <cellStyle name="SSDecs3 9" xfId="17711"/>
    <cellStyle name="SSDecs3 9 2" xfId="17712"/>
    <cellStyle name="SSDflt" xfId="2652"/>
    <cellStyle name="SSDfltPct" xfId="2653"/>
    <cellStyle name="SSDfltPct 10" xfId="17713"/>
    <cellStyle name="SSDfltPct 10 2" xfId="17714"/>
    <cellStyle name="SSDfltPct 11" xfId="17715"/>
    <cellStyle name="SSDfltPct 11 2" xfId="17716"/>
    <cellStyle name="SSDfltPct 2" xfId="2654"/>
    <cellStyle name="SSDfltPct 2 2" xfId="2655"/>
    <cellStyle name="SSDfltPct 2 2 2" xfId="17717"/>
    <cellStyle name="SSDfltPct 2 2 2 2" xfId="17718"/>
    <cellStyle name="SSDfltPct 2 2 3" xfId="17719"/>
    <cellStyle name="SSDfltPct 2 2 3 2" xfId="17720"/>
    <cellStyle name="SSDfltPct 2 2 4" xfId="17721"/>
    <cellStyle name="SSDfltPct 2 2 4 2" xfId="17722"/>
    <cellStyle name="SSDfltPct 2 2 5" xfId="17723"/>
    <cellStyle name="SSDfltPct 2 2 5 2" xfId="17724"/>
    <cellStyle name="SSDfltPct 2 3" xfId="17725"/>
    <cellStyle name="SSDfltPct 2 3 2" xfId="17726"/>
    <cellStyle name="SSDfltPct 2 4" xfId="17727"/>
    <cellStyle name="SSDfltPct 2 4 2" xfId="17728"/>
    <cellStyle name="SSDfltPct 2 5" xfId="17729"/>
    <cellStyle name="SSDfltPct 2 5 2" xfId="17730"/>
    <cellStyle name="SSDfltPct 2 6" xfId="17731"/>
    <cellStyle name="SSDfltPct 2 6 2" xfId="17732"/>
    <cellStyle name="SSDfltPct 3" xfId="2656"/>
    <cellStyle name="SSDfltPct 3 2" xfId="2657"/>
    <cellStyle name="SSDfltPct 3 2 2" xfId="17733"/>
    <cellStyle name="SSDfltPct 3 2 2 2" xfId="17734"/>
    <cellStyle name="SSDfltPct 3 2 3" xfId="17735"/>
    <cellStyle name="SSDfltPct 3 2 3 2" xfId="17736"/>
    <cellStyle name="SSDfltPct 3 2 4" xfId="17737"/>
    <cellStyle name="SSDfltPct 3 2 4 2" xfId="17738"/>
    <cellStyle name="SSDfltPct 3 2 5" xfId="17739"/>
    <cellStyle name="SSDfltPct 3 2 5 2" xfId="17740"/>
    <cellStyle name="SSDfltPct 3 3" xfId="17741"/>
    <cellStyle name="SSDfltPct 3 3 2" xfId="17742"/>
    <cellStyle name="SSDfltPct 3 4" xfId="17743"/>
    <cellStyle name="SSDfltPct 3 4 2" xfId="17744"/>
    <cellStyle name="SSDfltPct 3 5" xfId="17745"/>
    <cellStyle name="SSDfltPct 3 5 2" xfId="17746"/>
    <cellStyle name="SSDfltPct 3 6" xfId="17747"/>
    <cellStyle name="SSDfltPct 3 6 2" xfId="17748"/>
    <cellStyle name="SSDfltPct 4" xfId="2658"/>
    <cellStyle name="SSDfltPct 4 2" xfId="2659"/>
    <cellStyle name="SSDfltPct 4 2 2" xfId="17749"/>
    <cellStyle name="SSDfltPct 4 2 2 2" xfId="17750"/>
    <cellStyle name="SSDfltPct 4 2 3" xfId="17751"/>
    <cellStyle name="SSDfltPct 4 2 3 2" xfId="17752"/>
    <cellStyle name="SSDfltPct 4 2 4" xfId="17753"/>
    <cellStyle name="SSDfltPct 4 2 4 2" xfId="17754"/>
    <cellStyle name="SSDfltPct 4 2 5" xfId="17755"/>
    <cellStyle name="SSDfltPct 4 2 5 2" xfId="17756"/>
    <cellStyle name="SSDfltPct 4 3" xfId="17757"/>
    <cellStyle name="SSDfltPct 4 3 2" xfId="17758"/>
    <cellStyle name="SSDfltPct 4 4" xfId="17759"/>
    <cellStyle name="SSDfltPct 4 4 2" xfId="17760"/>
    <cellStyle name="SSDfltPct 4 5" xfId="17761"/>
    <cellStyle name="SSDfltPct 4 5 2" xfId="17762"/>
    <cellStyle name="SSDfltPct 4 6" xfId="17763"/>
    <cellStyle name="SSDfltPct 4 6 2" xfId="17764"/>
    <cellStyle name="SSDfltPct 5" xfId="2660"/>
    <cellStyle name="SSDfltPct 5 2" xfId="2661"/>
    <cellStyle name="SSDfltPct 5 2 2" xfId="17765"/>
    <cellStyle name="SSDfltPct 5 2 2 2" xfId="17766"/>
    <cellStyle name="SSDfltPct 5 2 3" xfId="17767"/>
    <cellStyle name="SSDfltPct 5 2 3 2" xfId="17768"/>
    <cellStyle name="SSDfltPct 5 2 4" xfId="17769"/>
    <cellStyle name="SSDfltPct 5 2 4 2" xfId="17770"/>
    <cellStyle name="SSDfltPct 5 2 5" xfId="17771"/>
    <cellStyle name="SSDfltPct 5 2 5 2" xfId="17772"/>
    <cellStyle name="SSDfltPct 5 3" xfId="17773"/>
    <cellStyle name="SSDfltPct 5 3 2" xfId="17774"/>
    <cellStyle name="SSDfltPct 5 4" xfId="17775"/>
    <cellStyle name="SSDfltPct 5 4 2" xfId="17776"/>
    <cellStyle name="SSDfltPct 5 5" xfId="17777"/>
    <cellStyle name="SSDfltPct 5 5 2" xfId="17778"/>
    <cellStyle name="SSDfltPct 5 6" xfId="17779"/>
    <cellStyle name="SSDfltPct 5 6 2" xfId="17780"/>
    <cellStyle name="SSDfltPct 6" xfId="2662"/>
    <cellStyle name="SSDfltPct 6 2" xfId="2663"/>
    <cellStyle name="SSDfltPct 6 2 2" xfId="17781"/>
    <cellStyle name="SSDfltPct 6 2 2 2" xfId="17782"/>
    <cellStyle name="SSDfltPct 6 2 3" xfId="17783"/>
    <cellStyle name="SSDfltPct 6 2 3 2" xfId="17784"/>
    <cellStyle name="SSDfltPct 6 2 4" xfId="17785"/>
    <cellStyle name="SSDfltPct 6 2 4 2" xfId="17786"/>
    <cellStyle name="SSDfltPct 6 2 5" xfId="17787"/>
    <cellStyle name="SSDfltPct 6 2 5 2" xfId="17788"/>
    <cellStyle name="SSDfltPct 6 3" xfId="17789"/>
    <cellStyle name="SSDfltPct 6 3 2" xfId="17790"/>
    <cellStyle name="SSDfltPct 6 4" xfId="17791"/>
    <cellStyle name="SSDfltPct 6 4 2" xfId="17792"/>
    <cellStyle name="SSDfltPct 6 5" xfId="17793"/>
    <cellStyle name="SSDfltPct 6 5 2" xfId="17794"/>
    <cellStyle name="SSDfltPct 6 6" xfId="17795"/>
    <cellStyle name="SSDfltPct 6 6 2" xfId="17796"/>
    <cellStyle name="SSDfltPct 7" xfId="2664"/>
    <cellStyle name="SSDfltPct 7 2" xfId="17797"/>
    <cellStyle name="SSDfltPct 7 2 2" xfId="17798"/>
    <cellStyle name="SSDfltPct 7 3" xfId="17799"/>
    <cellStyle name="SSDfltPct 7 3 2" xfId="17800"/>
    <cellStyle name="SSDfltPct 7 4" xfId="17801"/>
    <cellStyle name="SSDfltPct 7 4 2" xfId="17802"/>
    <cellStyle name="SSDfltPct 7 5" xfId="17803"/>
    <cellStyle name="SSDfltPct 7 5 2" xfId="17804"/>
    <cellStyle name="SSDfltPct 8" xfId="17805"/>
    <cellStyle name="SSDfltPct 8 2" xfId="17806"/>
    <cellStyle name="SSDfltPct 9" xfId="17807"/>
    <cellStyle name="SSDfltPct 9 2" xfId="17808"/>
    <cellStyle name="SSDfltPct0" xfId="2665"/>
    <cellStyle name="SSDfltPct0 10" xfId="17809"/>
    <cellStyle name="SSDfltPct0 10 2" xfId="17810"/>
    <cellStyle name="SSDfltPct0 11" xfId="17811"/>
    <cellStyle name="SSDfltPct0 11 2" xfId="17812"/>
    <cellStyle name="SSDfltPct0 2" xfId="2666"/>
    <cellStyle name="SSDfltPct0 2 2" xfId="2667"/>
    <cellStyle name="SSDfltPct0 2 2 2" xfId="17813"/>
    <cellStyle name="SSDfltPct0 2 2 2 2" xfId="17814"/>
    <cellStyle name="SSDfltPct0 2 2 3" xfId="17815"/>
    <cellStyle name="SSDfltPct0 2 2 3 2" xfId="17816"/>
    <cellStyle name="SSDfltPct0 2 2 4" xfId="17817"/>
    <cellStyle name="SSDfltPct0 2 2 4 2" xfId="17818"/>
    <cellStyle name="SSDfltPct0 2 2 5" xfId="17819"/>
    <cellStyle name="SSDfltPct0 2 2 5 2" xfId="17820"/>
    <cellStyle name="SSDfltPct0 2 3" xfId="17821"/>
    <cellStyle name="SSDfltPct0 2 3 2" xfId="17822"/>
    <cellStyle name="SSDfltPct0 2 4" xfId="17823"/>
    <cellStyle name="SSDfltPct0 2 4 2" xfId="17824"/>
    <cellStyle name="SSDfltPct0 2 5" xfId="17825"/>
    <cellStyle name="SSDfltPct0 2 5 2" xfId="17826"/>
    <cellStyle name="SSDfltPct0 2 6" xfId="17827"/>
    <cellStyle name="SSDfltPct0 2 6 2" xfId="17828"/>
    <cellStyle name="SSDfltPct0 3" xfId="2668"/>
    <cellStyle name="SSDfltPct0 3 2" xfId="2669"/>
    <cellStyle name="SSDfltPct0 3 2 2" xfId="17829"/>
    <cellStyle name="SSDfltPct0 3 2 2 2" xfId="17830"/>
    <cellStyle name="SSDfltPct0 3 2 3" xfId="17831"/>
    <cellStyle name="SSDfltPct0 3 2 3 2" xfId="17832"/>
    <cellStyle name="SSDfltPct0 3 2 4" xfId="17833"/>
    <cellStyle name="SSDfltPct0 3 2 4 2" xfId="17834"/>
    <cellStyle name="SSDfltPct0 3 2 5" xfId="17835"/>
    <cellStyle name="SSDfltPct0 3 2 5 2" xfId="17836"/>
    <cellStyle name="SSDfltPct0 3 3" xfId="17837"/>
    <cellStyle name="SSDfltPct0 3 3 2" xfId="17838"/>
    <cellStyle name="SSDfltPct0 3 4" xfId="17839"/>
    <cellStyle name="SSDfltPct0 3 4 2" xfId="17840"/>
    <cellStyle name="SSDfltPct0 3 5" xfId="17841"/>
    <cellStyle name="SSDfltPct0 3 5 2" xfId="17842"/>
    <cellStyle name="SSDfltPct0 3 6" xfId="17843"/>
    <cellStyle name="SSDfltPct0 3 6 2" xfId="17844"/>
    <cellStyle name="SSDfltPct0 4" xfId="2670"/>
    <cellStyle name="SSDfltPct0 4 2" xfId="2671"/>
    <cellStyle name="SSDfltPct0 4 2 2" xfId="17845"/>
    <cellStyle name="SSDfltPct0 4 2 2 2" xfId="17846"/>
    <cellStyle name="SSDfltPct0 4 2 3" xfId="17847"/>
    <cellStyle name="SSDfltPct0 4 2 3 2" xfId="17848"/>
    <cellStyle name="SSDfltPct0 4 2 4" xfId="17849"/>
    <cellStyle name="SSDfltPct0 4 2 4 2" xfId="17850"/>
    <cellStyle name="SSDfltPct0 4 2 5" xfId="17851"/>
    <cellStyle name="SSDfltPct0 4 2 5 2" xfId="17852"/>
    <cellStyle name="SSDfltPct0 4 3" xfId="17853"/>
    <cellStyle name="SSDfltPct0 4 3 2" xfId="17854"/>
    <cellStyle name="SSDfltPct0 4 4" xfId="17855"/>
    <cellStyle name="SSDfltPct0 4 4 2" xfId="17856"/>
    <cellStyle name="SSDfltPct0 4 5" xfId="17857"/>
    <cellStyle name="SSDfltPct0 4 5 2" xfId="17858"/>
    <cellStyle name="SSDfltPct0 4 6" xfId="17859"/>
    <cellStyle name="SSDfltPct0 4 6 2" xfId="17860"/>
    <cellStyle name="SSDfltPct0 5" xfId="2672"/>
    <cellStyle name="SSDfltPct0 5 2" xfId="2673"/>
    <cellStyle name="SSDfltPct0 5 2 2" xfId="17861"/>
    <cellStyle name="SSDfltPct0 5 2 2 2" xfId="17862"/>
    <cellStyle name="SSDfltPct0 5 2 3" xfId="17863"/>
    <cellStyle name="SSDfltPct0 5 2 3 2" xfId="17864"/>
    <cellStyle name="SSDfltPct0 5 2 4" xfId="17865"/>
    <cellStyle name="SSDfltPct0 5 2 4 2" xfId="17866"/>
    <cellStyle name="SSDfltPct0 5 2 5" xfId="17867"/>
    <cellStyle name="SSDfltPct0 5 2 5 2" xfId="17868"/>
    <cellStyle name="SSDfltPct0 5 3" xfId="17869"/>
    <cellStyle name="SSDfltPct0 5 3 2" xfId="17870"/>
    <cellStyle name="SSDfltPct0 5 4" xfId="17871"/>
    <cellStyle name="SSDfltPct0 5 4 2" xfId="17872"/>
    <cellStyle name="SSDfltPct0 5 5" xfId="17873"/>
    <cellStyle name="SSDfltPct0 5 5 2" xfId="17874"/>
    <cellStyle name="SSDfltPct0 5 6" xfId="17875"/>
    <cellStyle name="SSDfltPct0 5 6 2" xfId="17876"/>
    <cellStyle name="SSDfltPct0 6" xfId="2674"/>
    <cellStyle name="SSDfltPct0 6 2" xfId="2675"/>
    <cellStyle name="SSDfltPct0 6 2 2" xfId="17877"/>
    <cellStyle name="SSDfltPct0 6 2 2 2" xfId="17878"/>
    <cellStyle name="SSDfltPct0 6 2 3" xfId="17879"/>
    <cellStyle name="SSDfltPct0 6 2 3 2" xfId="17880"/>
    <cellStyle name="SSDfltPct0 6 2 4" xfId="17881"/>
    <cellStyle name="SSDfltPct0 6 2 4 2" xfId="17882"/>
    <cellStyle name="SSDfltPct0 6 2 5" xfId="17883"/>
    <cellStyle name="SSDfltPct0 6 2 5 2" xfId="17884"/>
    <cellStyle name="SSDfltPct0 6 3" xfId="17885"/>
    <cellStyle name="SSDfltPct0 6 3 2" xfId="17886"/>
    <cellStyle name="SSDfltPct0 6 4" xfId="17887"/>
    <cellStyle name="SSDfltPct0 6 4 2" xfId="17888"/>
    <cellStyle name="SSDfltPct0 6 5" xfId="17889"/>
    <cellStyle name="SSDfltPct0 6 5 2" xfId="17890"/>
    <cellStyle name="SSDfltPct0 6 6" xfId="17891"/>
    <cellStyle name="SSDfltPct0 6 6 2" xfId="17892"/>
    <cellStyle name="SSDfltPct0 7" xfId="2676"/>
    <cellStyle name="SSDfltPct0 7 2" xfId="17893"/>
    <cellStyle name="SSDfltPct0 7 2 2" xfId="17894"/>
    <cellStyle name="SSDfltPct0 7 3" xfId="17895"/>
    <cellStyle name="SSDfltPct0 7 3 2" xfId="17896"/>
    <cellStyle name="SSDfltPct0 7 4" xfId="17897"/>
    <cellStyle name="SSDfltPct0 7 4 2" xfId="17898"/>
    <cellStyle name="SSDfltPct0 7 5" xfId="17899"/>
    <cellStyle name="SSDfltPct0 7 5 2" xfId="17900"/>
    <cellStyle name="SSDfltPct0 8" xfId="17901"/>
    <cellStyle name="SSDfltPct0 8 2" xfId="17902"/>
    <cellStyle name="SSDfltPct0 9" xfId="17903"/>
    <cellStyle name="SSDfltPct0 9 2" xfId="17904"/>
    <cellStyle name="SSFixed2" xfId="2677"/>
    <cellStyle name="SSFixed2 10" xfId="17905"/>
    <cellStyle name="SSFixed2 10 2" xfId="17906"/>
    <cellStyle name="SSFixed2 11" xfId="17907"/>
    <cellStyle name="SSFixed2 11 2" xfId="17908"/>
    <cellStyle name="SSFixed2 2" xfId="2678"/>
    <cellStyle name="SSFixed2 2 2" xfId="2679"/>
    <cellStyle name="SSFixed2 2 2 2" xfId="17909"/>
    <cellStyle name="SSFixed2 2 2 2 2" xfId="17910"/>
    <cellStyle name="SSFixed2 2 2 3" xfId="17911"/>
    <cellStyle name="SSFixed2 2 2 3 2" xfId="17912"/>
    <cellStyle name="SSFixed2 2 2 4" xfId="17913"/>
    <cellStyle name="SSFixed2 2 2 4 2" xfId="17914"/>
    <cellStyle name="SSFixed2 2 2 5" xfId="17915"/>
    <cellStyle name="SSFixed2 2 2 5 2" xfId="17916"/>
    <cellStyle name="SSFixed2 2 3" xfId="17917"/>
    <cellStyle name="SSFixed2 2 3 2" xfId="17918"/>
    <cellStyle name="SSFixed2 2 4" xfId="17919"/>
    <cellStyle name="SSFixed2 2 4 2" xfId="17920"/>
    <cellStyle name="SSFixed2 2 5" xfId="17921"/>
    <cellStyle name="SSFixed2 2 5 2" xfId="17922"/>
    <cellStyle name="SSFixed2 2 6" xfId="17923"/>
    <cellStyle name="SSFixed2 2 6 2" xfId="17924"/>
    <cellStyle name="SSFixed2 3" xfId="2680"/>
    <cellStyle name="SSFixed2 3 2" xfId="2681"/>
    <cellStyle name="SSFixed2 3 2 2" xfId="17925"/>
    <cellStyle name="SSFixed2 3 2 2 2" xfId="17926"/>
    <cellStyle name="SSFixed2 3 2 3" xfId="17927"/>
    <cellStyle name="SSFixed2 3 2 3 2" xfId="17928"/>
    <cellStyle name="SSFixed2 3 2 4" xfId="17929"/>
    <cellStyle name="SSFixed2 3 2 4 2" xfId="17930"/>
    <cellStyle name="SSFixed2 3 2 5" xfId="17931"/>
    <cellStyle name="SSFixed2 3 2 5 2" xfId="17932"/>
    <cellStyle name="SSFixed2 3 3" xfId="17933"/>
    <cellStyle name="SSFixed2 3 3 2" xfId="17934"/>
    <cellStyle name="SSFixed2 3 4" xfId="17935"/>
    <cellStyle name="SSFixed2 3 4 2" xfId="17936"/>
    <cellStyle name="SSFixed2 3 5" xfId="17937"/>
    <cellStyle name="SSFixed2 3 5 2" xfId="17938"/>
    <cellStyle name="SSFixed2 3 6" xfId="17939"/>
    <cellStyle name="SSFixed2 3 6 2" xfId="17940"/>
    <cellStyle name="SSFixed2 4" xfId="2682"/>
    <cellStyle name="SSFixed2 4 2" xfId="2683"/>
    <cellStyle name="SSFixed2 4 2 2" xfId="17941"/>
    <cellStyle name="SSFixed2 4 2 2 2" xfId="17942"/>
    <cellStyle name="SSFixed2 4 2 3" xfId="17943"/>
    <cellStyle name="SSFixed2 4 2 3 2" xfId="17944"/>
    <cellStyle name="SSFixed2 4 2 4" xfId="17945"/>
    <cellStyle name="SSFixed2 4 2 4 2" xfId="17946"/>
    <cellStyle name="SSFixed2 4 2 5" xfId="17947"/>
    <cellStyle name="SSFixed2 4 2 5 2" xfId="17948"/>
    <cellStyle name="SSFixed2 4 3" xfId="17949"/>
    <cellStyle name="SSFixed2 4 3 2" xfId="17950"/>
    <cellStyle name="SSFixed2 4 4" xfId="17951"/>
    <cellStyle name="SSFixed2 4 4 2" xfId="17952"/>
    <cellStyle name="SSFixed2 4 5" xfId="17953"/>
    <cellStyle name="SSFixed2 4 5 2" xfId="17954"/>
    <cellStyle name="SSFixed2 4 6" xfId="17955"/>
    <cellStyle name="SSFixed2 4 6 2" xfId="17956"/>
    <cellStyle name="SSFixed2 5" xfId="2684"/>
    <cellStyle name="SSFixed2 5 2" xfId="2685"/>
    <cellStyle name="SSFixed2 5 2 2" xfId="17957"/>
    <cellStyle name="SSFixed2 5 2 2 2" xfId="17958"/>
    <cellStyle name="SSFixed2 5 2 3" xfId="17959"/>
    <cellStyle name="SSFixed2 5 2 3 2" xfId="17960"/>
    <cellStyle name="SSFixed2 5 2 4" xfId="17961"/>
    <cellStyle name="SSFixed2 5 2 4 2" xfId="17962"/>
    <cellStyle name="SSFixed2 5 2 5" xfId="17963"/>
    <cellStyle name="SSFixed2 5 2 5 2" xfId="17964"/>
    <cellStyle name="SSFixed2 5 3" xfId="17965"/>
    <cellStyle name="SSFixed2 5 3 2" xfId="17966"/>
    <cellStyle name="SSFixed2 5 4" xfId="17967"/>
    <cellStyle name="SSFixed2 5 4 2" xfId="17968"/>
    <cellStyle name="SSFixed2 5 5" xfId="17969"/>
    <cellStyle name="SSFixed2 5 5 2" xfId="17970"/>
    <cellStyle name="SSFixed2 5 6" xfId="17971"/>
    <cellStyle name="SSFixed2 5 6 2" xfId="17972"/>
    <cellStyle name="SSFixed2 6" xfId="2686"/>
    <cellStyle name="SSFixed2 6 2" xfId="2687"/>
    <cellStyle name="SSFixed2 6 2 2" xfId="17973"/>
    <cellStyle name="SSFixed2 6 2 2 2" xfId="17974"/>
    <cellStyle name="SSFixed2 6 2 3" xfId="17975"/>
    <cellStyle name="SSFixed2 6 2 3 2" xfId="17976"/>
    <cellStyle name="SSFixed2 6 2 4" xfId="17977"/>
    <cellStyle name="SSFixed2 6 2 4 2" xfId="17978"/>
    <cellStyle name="SSFixed2 6 2 5" xfId="17979"/>
    <cellStyle name="SSFixed2 6 2 5 2" xfId="17980"/>
    <cellStyle name="SSFixed2 6 3" xfId="17981"/>
    <cellStyle name="SSFixed2 6 3 2" xfId="17982"/>
    <cellStyle name="SSFixed2 6 4" xfId="17983"/>
    <cellStyle name="SSFixed2 6 4 2" xfId="17984"/>
    <cellStyle name="SSFixed2 6 5" xfId="17985"/>
    <cellStyle name="SSFixed2 6 5 2" xfId="17986"/>
    <cellStyle name="SSFixed2 6 6" xfId="17987"/>
    <cellStyle name="SSFixed2 6 6 2" xfId="17988"/>
    <cellStyle name="SSFixed2 7" xfId="2688"/>
    <cellStyle name="SSFixed2 7 2" xfId="17989"/>
    <cellStyle name="SSFixed2 7 2 2" xfId="17990"/>
    <cellStyle name="SSFixed2 7 3" xfId="17991"/>
    <cellStyle name="SSFixed2 7 3 2" xfId="17992"/>
    <cellStyle name="SSFixed2 7 4" xfId="17993"/>
    <cellStyle name="SSFixed2 7 4 2" xfId="17994"/>
    <cellStyle name="SSFixed2 7 5" xfId="17995"/>
    <cellStyle name="SSFixed2 7 5 2" xfId="17996"/>
    <cellStyle name="SSFixed2 8" xfId="17997"/>
    <cellStyle name="SSFixed2 8 2" xfId="17998"/>
    <cellStyle name="SSFixed2 9" xfId="17999"/>
    <cellStyle name="SSFixed2 9 2" xfId="18000"/>
    <cellStyle name="ssubtitulo" xfId="18001"/>
    <cellStyle name="Standard_44" xfId="18002"/>
    <cellStyle name="STYL0 - Estilo1" xfId="2689"/>
    <cellStyle name="STYL0 - Estilo1 2" xfId="18003"/>
    <cellStyle name="STYL0 - Estilo1 3" xfId="18004"/>
    <cellStyle name="STYL1 - Estilo2" xfId="2690"/>
    <cellStyle name="STYL1 - Estilo2 2" xfId="18005"/>
    <cellStyle name="STYL1 - Estilo2 3" xfId="18006"/>
    <cellStyle name="STYL2 - Estilo3" xfId="2691"/>
    <cellStyle name="STYL2 - Estilo3 2" xfId="18007"/>
    <cellStyle name="STYL2 - Estilo3 3" xfId="18008"/>
    <cellStyle name="STYL3 - Estilo4" xfId="2692"/>
    <cellStyle name="STYL3 - Estilo4 2" xfId="18009"/>
    <cellStyle name="STYL3 - Estilo4 3" xfId="18010"/>
    <cellStyle name="STYL4 - Estilo5" xfId="2693"/>
    <cellStyle name="STYL4 - Estilo5 2" xfId="18011"/>
    <cellStyle name="STYL4 - Estilo5 3" xfId="18012"/>
    <cellStyle name="STYL5 - Estilo6" xfId="2694"/>
    <cellStyle name="STYL5 - Estilo6 2" xfId="18013"/>
    <cellStyle name="STYL5 - Estilo6 3" xfId="18014"/>
    <cellStyle name="STYL6 - Estilo7" xfId="2695"/>
    <cellStyle name="STYL6 - Estilo7 2" xfId="18015"/>
    <cellStyle name="STYL6 - Estilo7 3" xfId="18016"/>
    <cellStyle name="STYL7 - Estilo8" xfId="2696"/>
    <cellStyle name="STYL7 - Estilo8 2" xfId="18017"/>
    <cellStyle name="STYL7 - Estilo8 3" xfId="18018"/>
    <cellStyle name="subtitulo" xfId="18019"/>
    <cellStyle name="Sub-Título" xfId="18020"/>
    <cellStyle name="Subtítulo Tabela" xfId="18021"/>
    <cellStyle name="subtitulo_Painel_de_controle_Band_v13_arvore" xfId="18022"/>
    <cellStyle name="TERMINAL" xfId="1859"/>
    <cellStyle name="Text" xfId="2697"/>
    <cellStyle name="Texto Bold" xfId="18023"/>
    <cellStyle name="Texto Bold (linha em baixo)" xfId="18024"/>
    <cellStyle name="Texto de Aviso 10" xfId="1860"/>
    <cellStyle name="Texto de Aviso 11" xfId="1861"/>
    <cellStyle name="Texto de Aviso 12" xfId="1862"/>
    <cellStyle name="Texto de Aviso 13" xfId="18025"/>
    <cellStyle name="Texto de Aviso 14" xfId="18026"/>
    <cellStyle name="Texto de Aviso 15" xfId="18027"/>
    <cellStyle name="Texto de Aviso 16" xfId="18028"/>
    <cellStyle name="Texto de Aviso 17" xfId="18029"/>
    <cellStyle name="Texto de Aviso 2" xfId="1863"/>
    <cellStyle name="Texto de Aviso 2 2" xfId="1864"/>
    <cellStyle name="Texto de Aviso 2 3" xfId="1865"/>
    <cellStyle name="Texto de Aviso 2 4" xfId="1866"/>
    <cellStyle name="Texto de Aviso 2 5" xfId="1867"/>
    <cellStyle name="Texto de Aviso 2 6" xfId="1868"/>
    <cellStyle name="Texto de Aviso 3" xfId="1869"/>
    <cellStyle name="Texto de Aviso 4" xfId="1870"/>
    <cellStyle name="Texto de Aviso 5" xfId="1871"/>
    <cellStyle name="Texto de Aviso 6" xfId="1872"/>
    <cellStyle name="Texto de Aviso 7" xfId="1873"/>
    <cellStyle name="Texto de Aviso 8" xfId="1874"/>
    <cellStyle name="Texto de Aviso 9" xfId="1875"/>
    <cellStyle name="Texto Explicativo 10" xfId="1876"/>
    <cellStyle name="Texto Explicativo 11" xfId="1877"/>
    <cellStyle name="Texto Explicativo 12" xfId="1878"/>
    <cellStyle name="Texto Explicativo 13" xfId="18030"/>
    <cellStyle name="Texto Explicativo 14" xfId="18031"/>
    <cellStyle name="Texto Explicativo 15" xfId="18032"/>
    <cellStyle name="Texto Explicativo 16" xfId="18033"/>
    <cellStyle name="Texto Explicativo 2" xfId="1879"/>
    <cellStyle name="Texto Explicativo 2 2" xfId="1880"/>
    <cellStyle name="Texto Explicativo 2 3" xfId="1881"/>
    <cellStyle name="Texto Explicativo 2 4" xfId="1882"/>
    <cellStyle name="Texto Explicativo 2 5" xfId="1883"/>
    <cellStyle name="Texto Explicativo 2 6" xfId="1884"/>
    <cellStyle name="Texto Explicativo 3" xfId="1885"/>
    <cellStyle name="Texto Explicativo 4" xfId="1886"/>
    <cellStyle name="Texto Explicativo 5" xfId="1887"/>
    <cellStyle name="Texto Explicativo 6" xfId="1888"/>
    <cellStyle name="Texto Explicativo 7" xfId="1889"/>
    <cellStyle name="Texto Explicativo 8" xfId="1890"/>
    <cellStyle name="Texto Explicativo 9" xfId="1891"/>
    <cellStyle name="Texto Tabela" xfId="18034"/>
    <cellStyle name="Texto Tabela (linha em baixo)" xfId="18035"/>
    <cellStyle name="Texto Tabela Gráficos" xfId="18036"/>
    <cellStyle name="þ_x001d_ð'&amp;Oý—&amp;Hýx_x0001_£_x000b__x000d__x0014__x0007__x0001__x0001_" xfId="1892"/>
    <cellStyle name="þ_x001d_ð'&amp;Oý—&amp;Hýx_x0001_£_x000b__x000d__x0014__x0007__x0001__x0001_ 2" xfId="1893"/>
    <cellStyle name="Tip" xfId="2802"/>
    <cellStyle name="Title" xfId="1894"/>
    <cellStyle name="Title 2" xfId="18037"/>
    <cellStyle name="Title 3" xfId="18038"/>
    <cellStyle name="Title 4" xfId="18039"/>
    <cellStyle name="titulo" xfId="1895"/>
    <cellStyle name="Título 1 10" xfId="1896"/>
    <cellStyle name="Título 1 11" xfId="1897"/>
    <cellStyle name="Título 1 12" xfId="1898"/>
    <cellStyle name="Título 1 13" xfId="2800"/>
    <cellStyle name="Título 1 14" xfId="18040"/>
    <cellStyle name="Título 1 15" xfId="18041"/>
    <cellStyle name="Título 1 16" xfId="18042"/>
    <cellStyle name="Título 1 2" xfId="1899"/>
    <cellStyle name="Título 1 2 2" xfId="1900"/>
    <cellStyle name="Título 1 2 3" xfId="1901"/>
    <cellStyle name="Título 1 2 4" xfId="1902"/>
    <cellStyle name="Título 1 2 5" xfId="1903"/>
    <cellStyle name="Título 1 2 6" xfId="1904"/>
    <cellStyle name="Título 1 2_PIP" xfId="1905"/>
    <cellStyle name="Título 1 3" xfId="1906"/>
    <cellStyle name="Título 1 3 2" xfId="2698"/>
    <cellStyle name="Título 1 4" xfId="1907"/>
    <cellStyle name="Título 1 4 2" xfId="2699"/>
    <cellStyle name="Título 1 5" xfId="1908"/>
    <cellStyle name="Título 1 5 2" xfId="2700"/>
    <cellStyle name="Título 1 6" xfId="1909"/>
    <cellStyle name="Título 1 7" xfId="1910"/>
    <cellStyle name="Título 1 8" xfId="1911"/>
    <cellStyle name="Título 1 9" xfId="1912"/>
    <cellStyle name="Título 10" xfId="1913"/>
    <cellStyle name="Título 11" xfId="1914"/>
    <cellStyle name="Título 12" xfId="1915"/>
    <cellStyle name="Título 13" xfId="1916"/>
    <cellStyle name="Título 14" xfId="1917"/>
    <cellStyle name="Título 15" xfId="1918"/>
    <cellStyle name="Título 16" xfId="18043"/>
    <cellStyle name="Título 17" xfId="18044"/>
    <cellStyle name="Título 18" xfId="18045"/>
    <cellStyle name="Título 19" xfId="18046"/>
    <cellStyle name="titulo 2" xfId="18047"/>
    <cellStyle name="Título 2 10" xfId="1919"/>
    <cellStyle name="Título 2 11" xfId="1920"/>
    <cellStyle name="Título 2 12" xfId="1921"/>
    <cellStyle name="Título 2 13" xfId="2799"/>
    <cellStyle name="Título 2 14" xfId="18048"/>
    <cellStyle name="Título 2 15" xfId="18049"/>
    <cellStyle name="Título 2 16" xfId="18050"/>
    <cellStyle name="titulo 2 2" xfId="18051"/>
    <cellStyle name="Título 2 2" xfId="1922"/>
    <cellStyle name="Título 2 2 2" xfId="1923"/>
    <cellStyle name="Título 2 2 3" xfId="1924"/>
    <cellStyle name="Título 2 2 4" xfId="1925"/>
    <cellStyle name="Título 2 2 5" xfId="1926"/>
    <cellStyle name="Título 2 2 6" xfId="1927"/>
    <cellStyle name="Título 2 2_PIP" xfId="1928"/>
    <cellStyle name="Título 2 3" xfId="1929"/>
    <cellStyle name="Título 2 3 2" xfId="2701"/>
    <cellStyle name="Título 2 4" xfId="1930"/>
    <cellStyle name="Título 2 4 2" xfId="2702"/>
    <cellStyle name="Título 2 5" xfId="1931"/>
    <cellStyle name="Título 2 5 2" xfId="2703"/>
    <cellStyle name="Título 2 6" xfId="1932"/>
    <cellStyle name="Título 2 7" xfId="1933"/>
    <cellStyle name="Título 2 8" xfId="1934"/>
    <cellStyle name="Título 2 9" xfId="1935"/>
    <cellStyle name="titulo 3" xfId="18052"/>
    <cellStyle name="Título 3 10" xfId="1936"/>
    <cellStyle name="Título 3 11" xfId="1937"/>
    <cellStyle name="Título 3 12" xfId="1938"/>
    <cellStyle name="Título 3 13" xfId="2798"/>
    <cellStyle name="Título 3 14" xfId="18053"/>
    <cellStyle name="Título 3 15" xfId="18054"/>
    <cellStyle name="Título 3 16" xfId="18055"/>
    <cellStyle name="titulo 3 2" xfId="18056"/>
    <cellStyle name="Título 3 2" xfId="1939"/>
    <cellStyle name="Título 3 2 2" xfId="1940"/>
    <cellStyle name="Título 3 2 3" xfId="1941"/>
    <cellStyle name="Título 3 2 4" xfId="1942"/>
    <cellStyle name="Título 3 2 5" xfId="1943"/>
    <cellStyle name="Título 3 2 6" xfId="1944"/>
    <cellStyle name="Título 3 2_PIP" xfId="1945"/>
    <cellStyle name="Título 3 3" xfId="1946"/>
    <cellStyle name="Título 3 3 2" xfId="2704"/>
    <cellStyle name="Título 3 4" xfId="1947"/>
    <cellStyle name="Título 3 4 2" xfId="2705"/>
    <cellStyle name="Título 3 5" xfId="1948"/>
    <cellStyle name="Título 3 5 2" xfId="2706"/>
    <cellStyle name="Título 3 6" xfId="1949"/>
    <cellStyle name="Título 3 7" xfId="1950"/>
    <cellStyle name="Título 3 8" xfId="1951"/>
    <cellStyle name="Título 3 9" xfId="1952"/>
    <cellStyle name="titulo 4" xfId="18057"/>
    <cellStyle name="Título 4 10" xfId="1953"/>
    <cellStyle name="Título 4 11" xfId="1954"/>
    <cellStyle name="Título 4 12" xfId="1955"/>
    <cellStyle name="Título 4 13" xfId="18058"/>
    <cellStyle name="Título 4 14" xfId="18059"/>
    <cellStyle name="Título 4 15" xfId="18060"/>
    <cellStyle name="Título 4 16" xfId="18061"/>
    <cellStyle name="titulo 4 2" xfId="18062"/>
    <cellStyle name="Título 4 2" xfId="1956"/>
    <cellStyle name="Título 4 2 2" xfId="1957"/>
    <cellStyle name="Título 4 2 3" xfId="1958"/>
    <cellStyle name="Título 4 2 4" xfId="1959"/>
    <cellStyle name="Título 4 2 5" xfId="1960"/>
    <cellStyle name="Título 4 2 6" xfId="1961"/>
    <cellStyle name="Título 4 3" xfId="1962"/>
    <cellStyle name="Título 4 3 2" xfId="2707"/>
    <cellStyle name="Título 4 4" xfId="1963"/>
    <cellStyle name="Título 4 4 2" xfId="2708"/>
    <cellStyle name="Título 4 5" xfId="1964"/>
    <cellStyle name="Título 4 5 2" xfId="2709"/>
    <cellStyle name="Título 4 6" xfId="1965"/>
    <cellStyle name="Título 4 7" xfId="1966"/>
    <cellStyle name="Título 4 8" xfId="1967"/>
    <cellStyle name="Título 4 9" xfId="1968"/>
    <cellStyle name="titulo 5" xfId="18063"/>
    <cellStyle name="Título 5" xfId="1969"/>
    <cellStyle name="titulo 5 2" xfId="18064"/>
    <cellStyle name="Título 5 2" xfId="1970"/>
    <cellStyle name="Título 5 3" xfId="1971"/>
    <cellStyle name="Título 5 4" xfId="1972"/>
    <cellStyle name="Título 5 5" xfId="1973"/>
    <cellStyle name="Título 5 6" xfId="1974"/>
    <cellStyle name="titulo 6" xfId="18065"/>
    <cellStyle name="Título 6" xfId="1975"/>
    <cellStyle name="titulo 6 2" xfId="18066"/>
    <cellStyle name="Título 6 2" xfId="2710"/>
    <cellStyle name="titulo 7" xfId="18067"/>
    <cellStyle name="Título 7" xfId="1976"/>
    <cellStyle name="titulo 7 2" xfId="18068"/>
    <cellStyle name="Título 7 2" xfId="2711"/>
    <cellStyle name="Título 8" xfId="1977"/>
    <cellStyle name="Título 8 2" xfId="2712"/>
    <cellStyle name="Título 9" xfId="1978"/>
    <cellStyle name="Título Página" xfId="18069"/>
    <cellStyle name="Título Tabela (azul)" xfId="18070"/>
    <cellStyle name="Título Tabela com traço" xfId="18071"/>
    <cellStyle name="titulo_Alimentacao Dados" xfId="1979"/>
    <cellStyle name="Titulo1" xfId="1980"/>
    <cellStyle name="Titulo2" xfId="1981"/>
    <cellStyle name="titulomov" xfId="18072"/>
    <cellStyle name="titulomov 2" xfId="18073"/>
    <cellStyle name="Todos" xfId="18074"/>
    <cellStyle name="Total 10" xfId="1982"/>
    <cellStyle name="Total 10 2" xfId="18075"/>
    <cellStyle name="Total 10 2 2" xfId="18076"/>
    <cellStyle name="Total 10 2 2 2" xfId="18077"/>
    <cellStyle name="Total 10 2 3" xfId="18078"/>
    <cellStyle name="Total 10 2 3 2" xfId="18079"/>
    <cellStyle name="Total 10 2 4" xfId="18080"/>
    <cellStyle name="Total 10 2 4 2" xfId="18081"/>
    <cellStyle name="Total 10 2 5" xfId="18082"/>
    <cellStyle name="Total 10 2 5 2" xfId="18083"/>
    <cellStyle name="Total 10 3" xfId="18084"/>
    <cellStyle name="Total 10 3 2" xfId="18085"/>
    <cellStyle name="Total 10 3 2 2" xfId="18086"/>
    <cellStyle name="Total 10 3 3" xfId="18087"/>
    <cellStyle name="Total 10 3 3 2" xfId="18088"/>
    <cellStyle name="Total 10 3 4" xfId="18089"/>
    <cellStyle name="Total 10 3 4 2" xfId="18090"/>
    <cellStyle name="Total 10 3 5" xfId="18091"/>
    <cellStyle name="Total 10 3 5 2" xfId="18092"/>
    <cellStyle name="Total 10 4" xfId="18093"/>
    <cellStyle name="Total 10 4 2" xfId="18094"/>
    <cellStyle name="Total 10 5" xfId="18095"/>
    <cellStyle name="Total 10 5 2" xfId="18096"/>
    <cellStyle name="Total 10 6" xfId="18097"/>
    <cellStyle name="Total 10 6 2" xfId="18098"/>
    <cellStyle name="Total 10 7" xfId="18099"/>
    <cellStyle name="Total 10 7 2" xfId="18100"/>
    <cellStyle name="Total 11" xfId="1983"/>
    <cellStyle name="Total 11 2" xfId="18101"/>
    <cellStyle name="Total 11 2 2" xfId="18102"/>
    <cellStyle name="Total 11 2 2 2" xfId="18103"/>
    <cellStyle name="Total 11 2 3" xfId="18104"/>
    <cellStyle name="Total 11 2 3 2" xfId="18105"/>
    <cellStyle name="Total 11 2 4" xfId="18106"/>
    <cellStyle name="Total 11 2 4 2" xfId="18107"/>
    <cellStyle name="Total 11 2 5" xfId="18108"/>
    <cellStyle name="Total 11 2 5 2" xfId="18109"/>
    <cellStyle name="Total 11 3" xfId="18110"/>
    <cellStyle name="Total 11 3 2" xfId="18111"/>
    <cellStyle name="Total 11 3 2 2" xfId="18112"/>
    <cellStyle name="Total 11 3 3" xfId="18113"/>
    <cellStyle name="Total 11 3 3 2" xfId="18114"/>
    <cellStyle name="Total 11 3 4" xfId="18115"/>
    <cellStyle name="Total 11 3 4 2" xfId="18116"/>
    <cellStyle name="Total 11 3 5" xfId="18117"/>
    <cellStyle name="Total 11 3 5 2" xfId="18118"/>
    <cellStyle name="Total 11 4" xfId="18119"/>
    <cellStyle name="Total 11 4 2" xfId="18120"/>
    <cellStyle name="Total 11 5" xfId="18121"/>
    <cellStyle name="Total 11 5 2" xfId="18122"/>
    <cellStyle name="Total 11 6" xfId="18123"/>
    <cellStyle name="Total 11 6 2" xfId="18124"/>
    <cellStyle name="Total 11 7" xfId="18125"/>
    <cellStyle name="Total 11 7 2" xfId="18126"/>
    <cellStyle name="Total 12" xfId="1984"/>
    <cellStyle name="Total 12 2" xfId="18127"/>
    <cellStyle name="Total 12 2 2" xfId="18128"/>
    <cellStyle name="Total 12 2 2 2" xfId="18129"/>
    <cellStyle name="Total 12 2 3" xfId="18130"/>
    <cellStyle name="Total 12 2 3 2" xfId="18131"/>
    <cellStyle name="Total 12 2 4" xfId="18132"/>
    <cellStyle name="Total 12 2 4 2" xfId="18133"/>
    <cellStyle name="Total 12 2 5" xfId="18134"/>
    <cellStyle name="Total 12 2 5 2" xfId="18135"/>
    <cellStyle name="Total 12 3" xfId="18136"/>
    <cellStyle name="Total 12 3 2" xfId="18137"/>
    <cellStyle name="Total 12 3 2 2" xfId="18138"/>
    <cellStyle name="Total 12 3 3" xfId="18139"/>
    <cellStyle name="Total 12 3 3 2" xfId="18140"/>
    <cellStyle name="Total 12 3 4" xfId="18141"/>
    <cellStyle name="Total 12 3 4 2" xfId="18142"/>
    <cellStyle name="Total 12 3 5" xfId="18143"/>
    <cellStyle name="Total 12 3 5 2" xfId="18144"/>
    <cellStyle name="Total 12 4" xfId="18145"/>
    <cellStyle name="Total 12 4 2" xfId="18146"/>
    <cellStyle name="Total 12 5" xfId="18147"/>
    <cellStyle name="Total 12 5 2" xfId="18148"/>
    <cellStyle name="Total 12 6" xfId="18149"/>
    <cellStyle name="Total 12 6 2" xfId="18150"/>
    <cellStyle name="Total 12 7" xfId="18151"/>
    <cellStyle name="Total 12 7 2" xfId="18152"/>
    <cellStyle name="Total 13" xfId="18153"/>
    <cellStyle name="Total 13 2" xfId="18154"/>
    <cellStyle name="Total 13 2 2" xfId="18155"/>
    <cellStyle name="Total 13 2 2 2" xfId="18156"/>
    <cellStyle name="Total 13 2 3" xfId="18157"/>
    <cellStyle name="Total 13 2 3 2" xfId="18158"/>
    <cellStyle name="Total 13 2 4" xfId="18159"/>
    <cellStyle name="Total 13 2 4 2" xfId="18160"/>
    <cellStyle name="Total 13 2 5" xfId="18161"/>
    <cellStyle name="Total 13 2 5 2" xfId="18162"/>
    <cellStyle name="Total 13 3" xfId="18163"/>
    <cellStyle name="Total 13 3 2" xfId="18164"/>
    <cellStyle name="Total 13 3 2 2" xfId="18165"/>
    <cellStyle name="Total 13 3 3" xfId="18166"/>
    <cellStyle name="Total 13 3 3 2" xfId="18167"/>
    <cellStyle name="Total 13 3 4" xfId="18168"/>
    <cellStyle name="Total 13 3 4 2" xfId="18169"/>
    <cellStyle name="Total 13 3 5" xfId="18170"/>
    <cellStyle name="Total 13 3 5 2" xfId="18171"/>
    <cellStyle name="Total 13 4" xfId="18172"/>
    <cellStyle name="Total 13 4 2" xfId="18173"/>
    <cellStyle name="Total 13 5" xfId="18174"/>
    <cellStyle name="Total 13 5 2" xfId="18175"/>
    <cellStyle name="Total 13 6" xfId="18176"/>
    <cellStyle name="Total 13 6 2" xfId="18177"/>
    <cellStyle name="Total 13 7" xfId="18178"/>
    <cellStyle name="Total 13 7 2" xfId="18179"/>
    <cellStyle name="Total 14" xfId="18180"/>
    <cellStyle name="Total 14 2" xfId="18181"/>
    <cellStyle name="Total 14 2 2" xfId="18182"/>
    <cellStyle name="Total 14 2 2 2" xfId="18183"/>
    <cellStyle name="Total 14 2 3" xfId="18184"/>
    <cellStyle name="Total 14 2 3 2" xfId="18185"/>
    <cellStyle name="Total 14 2 4" xfId="18186"/>
    <cellStyle name="Total 14 2 4 2" xfId="18187"/>
    <cellStyle name="Total 14 2 5" xfId="18188"/>
    <cellStyle name="Total 14 2 5 2" xfId="18189"/>
    <cellStyle name="Total 14 3" xfId="18190"/>
    <cellStyle name="Total 14 3 2" xfId="18191"/>
    <cellStyle name="Total 14 3 2 2" xfId="18192"/>
    <cellStyle name="Total 14 3 3" xfId="18193"/>
    <cellStyle name="Total 14 3 3 2" xfId="18194"/>
    <cellStyle name="Total 14 3 4" xfId="18195"/>
    <cellStyle name="Total 14 3 4 2" xfId="18196"/>
    <cellStyle name="Total 14 3 5" xfId="18197"/>
    <cellStyle name="Total 14 3 5 2" xfId="18198"/>
    <cellStyle name="Total 14 4" xfId="18199"/>
    <cellStyle name="Total 14 4 2" xfId="18200"/>
    <cellStyle name="Total 14 5" xfId="18201"/>
    <cellStyle name="Total 14 5 2" xfId="18202"/>
    <cellStyle name="Total 14 6" xfId="18203"/>
    <cellStyle name="Total 14 6 2" xfId="18204"/>
    <cellStyle name="Total 14 7" xfId="18205"/>
    <cellStyle name="Total 14 7 2" xfId="18206"/>
    <cellStyle name="Total 15" xfId="18207"/>
    <cellStyle name="Total 15 2" xfId="18208"/>
    <cellStyle name="Total 15 2 2" xfId="18209"/>
    <cellStyle name="Total 15 2 2 2" xfId="18210"/>
    <cellStyle name="Total 15 2 3" xfId="18211"/>
    <cellStyle name="Total 15 2 3 2" xfId="18212"/>
    <cellStyle name="Total 15 2 4" xfId="18213"/>
    <cellStyle name="Total 15 2 4 2" xfId="18214"/>
    <cellStyle name="Total 15 2 5" xfId="18215"/>
    <cellStyle name="Total 15 2 5 2" xfId="18216"/>
    <cellStyle name="Total 15 3" xfId="18217"/>
    <cellStyle name="Total 15 3 2" xfId="18218"/>
    <cellStyle name="Total 15 3 2 2" xfId="18219"/>
    <cellStyle name="Total 15 3 3" xfId="18220"/>
    <cellStyle name="Total 15 3 3 2" xfId="18221"/>
    <cellStyle name="Total 15 3 4" xfId="18222"/>
    <cellStyle name="Total 15 3 4 2" xfId="18223"/>
    <cellStyle name="Total 15 3 5" xfId="18224"/>
    <cellStyle name="Total 15 3 5 2" xfId="18225"/>
    <cellStyle name="Total 15 4" xfId="18226"/>
    <cellStyle name="Total 15 4 2" xfId="18227"/>
    <cellStyle name="Total 15 5" xfId="18228"/>
    <cellStyle name="Total 15 5 2" xfId="18229"/>
    <cellStyle name="Total 15 6" xfId="18230"/>
    <cellStyle name="Total 15 6 2" xfId="18231"/>
    <cellStyle name="Total 15 7" xfId="18232"/>
    <cellStyle name="Total 15 7 2" xfId="18233"/>
    <cellStyle name="Total 16" xfId="18234"/>
    <cellStyle name="Total 16 2" xfId="18235"/>
    <cellStyle name="Total 16 2 2" xfId="18236"/>
    <cellStyle name="Total 16 2 2 2" xfId="18237"/>
    <cellStyle name="Total 16 2 3" xfId="18238"/>
    <cellStyle name="Total 16 2 3 2" xfId="18239"/>
    <cellStyle name="Total 16 2 4" xfId="18240"/>
    <cellStyle name="Total 16 2 4 2" xfId="18241"/>
    <cellStyle name="Total 16 2 5" xfId="18242"/>
    <cellStyle name="Total 16 2 5 2" xfId="18243"/>
    <cellStyle name="Total 16 3" xfId="18244"/>
    <cellStyle name="Total 16 3 2" xfId="18245"/>
    <cellStyle name="Total 16 3 2 2" xfId="18246"/>
    <cellStyle name="Total 16 3 3" xfId="18247"/>
    <cellStyle name="Total 16 3 3 2" xfId="18248"/>
    <cellStyle name="Total 16 3 4" xfId="18249"/>
    <cellStyle name="Total 16 3 4 2" xfId="18250"/>
    <cellStyle name="Total 16 3 5" xfId="18251"/>
    <cellStyle name="Total 16 3 5 2" xfId="18252"/>
    <cellStyle name="Total 16 4" xfId="18253"/>
    <cellStyle name="Total 16 4 2" xfId="18254"/>
    <cellStyle name="Total 16 5" xfId="18255"/>
    <cellStyle name="Total 16 5 2" xfId="18256"/>
    <cellStyle name="Total 16 6" xfId="18257"/>
    <cellStyle name="Total 16 6 2" xfId="18258"/>
    <cellStyle name="Total 16 7" xfId="18259"/>
    <cellStyle name="Total 16 7 2" xfId="18260"/>
    <cellStyle name="Total 2" xfId="1985"/>
    <cellStyle name="Total 2 2" xfId="1986"/>
    <cellStyle name="Total 2 2 10" xfId="18261"/>
    <cellStyle name="Total 2 2 10 2" xfId="18262"/>
    <cellStyle name="Total 2 2 11" xfId="18263"/>
    <cellStyle name="Total 2 2 11 2" xfId="18264"/>
    <cellStyle name="Total 2 2 12" xfId="18265"/>
    <cellStyle name="Total 2 2 12 2" xfId="18266"/>
    <cellStyle name="Total 2 2 2" xfId="2713"/>
    <cellStyle name="Total 2 2 2 2" xfId="2714"/>
    <cellStyle name="Total 2 2 2 2 2" xfId="18267"/>
    <cellStyle name="Total 2 2 2 2 2 2" xfId="18268"/>
    <cellStyle name="Total 2 2 2 2 2 2 2" xfId="18269"/>
    <cellStyle name="Total 2 2 2 2 2 3" xfId="18270"/>
    <cellStyle name="Total 2 2 2 2 2 3 2" xfId="18271"/>
    <cellStyle name="Total 2 2 2 2 2 4" xfId="18272"/>
    <cellStyle name="Total 2 2 2 2 2 4 2" xfId="18273"/>
    <cellStyle name="Total 2 2 2 2 2 5" xfId="18274"/>
    <cellStyle name="Total 2 2 2 2 2 5 2" xfId="18275"/>
    <cellStyle name="Total 2 2 2 2 3" xfId="18276"/>
    <cellStyle name="Total 2 2 2 2 3 2" xfId="18277"/>
    <cellStyle name="Total 2 2 2 2 3 2 2" xfId="18278"/>
    <cellStyle name="Total 2 2 2 2 3 3" xfId="18279"/>
    <cellStyle name="Total 2 2 2 2 3 3 2" xfId="18280"/>
    <cellStyle name="Total 2 2 2 2 3 4" xfId="18281"/>
    <cellStyle name="Total 2 2 2 2 3 4 2" xfId="18282"/>
    <cellStyle name="Total 2 2 2 2 3 5" xfId="18283"/>
    <cellStyle name="Total 2 2 2 2 3 5 2" xfId="18284"/>
    <cellStyle name="Total 2 2 2 2 4" xfId="18285"/>
    <cellStyle name="Total 2 2 2 2 4 2" xfId="18286"/>
    <cellStyle name="Total 2 2 2 2 5" xfId="18287"/>
    <cellStyle name="Total 2 2 2 2 5 2" xfId="18288"/>
    <cellStyle name="Total 2 2 2 2 6" xfId="18289"/>
    <cellStyle name="Total 2 2 2 2 6 2" xfId="18290"/>
    <cellStyle name="Total 2 2 2 2 7" xfId="18291"/>
    <cellStyle name="Total 2 2 2 2 7 2" xfId="18292"/>
    <cellStyle name="Total 2 2 2 3" xfId="18293"/>
    <cellStyle name="Total 2 2 2 3 2" xfId="18294"/>
    <cellStyle name="Total 2 2 2 3 2 2" xfId="18295"/>
    <cellStyle name="Total 2 2 2 3 3" xfId="18296"/>
    <cellStyle name="Total 2 2 2 3 3 2" xfId="18297"/>
    <cellStyle name="Total 2 2 2 3 4" xfId="18298"/>
    <cellStyle name="Total 2 2 2 3 4 2" xfId="18299"/>
    <cellStyle name="Total 2 2 2 3 5" xfId="18300"/>
    <cellStyle name="Total 2 2 2 3 5 2" xfId="18301"/>
    <cellStyle name="Total 2 2 2 4" xfId="18302"/>
    <cellStyle name="Total 2 2 2 4 2" xfId="18303"/>
    <cellStyle name="Total 2 2 2 4 2 2" xfId="18304"/>
    <cellStyle name="Total 2 2 2 4 3" xfId="18305"/>
    <cellStyle name="Total 2 2 2 4 3 2" xfId="18306"/>
    <cellStyle name="Total 2 2 2 4 4" xfId="18307"/>
    <cellStyle name="Total 2 2 2 4 4 2" xfId="18308"/>
    <cellStyle name="Total 2 2 2 4 5" xfId="18309"/>
    <cellStyle name="Total 2 2 2 4 5 2" xfId="18310"/>
    <cellStyle name="Total 2 2 2 5" xfId="18311"/>
    <cellStyle name="Total 2 2 2 5 2" xfId="18312"/>
    <cellStyle name="Total 2 2 2 6" xfId="18313"/>
    <cellStyle name="Total 2 2 2 6 2" xfId="18314"/>
    <cellStyle name="Total 2 2 2 7" xfId="18315"/>
    <cellStyle name="Total 2 2 2 7 2" xfId="18316"/>
    <cellStyle name="Total 2 2 2 8" xfId="18317"/>
    <cellStyle name="Total 2 2 2 8 2" xfId="18318"/>
    <cellStyle name="Total 2 2 3" xfId="2715"/>
    <cellStyle name="Total 2 2 3 2" xfId="2716"/>
    <cellStyle name="Total 2 2 3 2 2" xfId="18319"/>
    <cellStyle name="Total 2 2 3 2 2 2" xfId="18320"/>
    <cellStyle name="Total 2 2 3 2 2 2 2" xfId="18321"/>
    <cellStyle name="Total 2 2 3 2 2 3" xfId="18322"/>
    <cellStyle name="Total 2 2 3 2 2 3 2" xfId="18323"/>
    <cellStyle name="Total 2 2 3 2 2 4" xfId="18324"/>
    <cellStyle name="Total 2 2 3 2 2 4 2" xfId="18325"/>
    <cellStyle name="Total 2 2 3 2 2 5" xfId="18326"/>
    <cellStyle name="Total 2 2 3 2 2 5 2" xfId="18327"/>
    <cellStyle name="Total 2 2 3 2 3" xfId="18328"/>
    <cellStyle name="Total 2 2 3 2 3 2" xfId="18329"/>
    <cellStyle name="Total 2 2 3 2 3 2 2" xfId="18330"/>
    <cellStyle name="Total 2 2 3 2 3 3" xfId="18331"/>
    <cellStyle name="Total 2 2 3 2 3 3 2" xfId="18332"/>
    <cellStyle name="Total 2 2 3 2 3 4" xfId="18333"/>
    <cellStyle name="Total 2 2 3 2 3 4 2" xfId="18334"/>
    <cellStyle name="Total 2 2 3 2 3 5" xfId="18335"/>
    <cellStyle name="Total 2 2 3 2 3 5 2" xfId="18336"/>
    <cellStyle name="Total 2 2 3 2 4" xfId="18337"/>
    <cellStyle name="Total 2 2 3 2 4 2" xfId="18338"/>
    <cellStyle name="Total 2 2 3 2 5" xfId="18339"/>
    <cellStyle name="Total 2 2 3 2 5 2" xfId="18340"/>
    <cellStyle name="Total 2 2 3 2 6" xfId="18341"/>
    <cellStyle name="Total 2 2 3 2 6 2" xfId="18342"/>
    <cellStyle name="Total 2 2 3 2 7" xfId="18343"/>
    <cellStyle name="Total 2 2 3 2 7 2" xfId="18344"/>
    <cellStyle name="Total 2 2 3 3" xfId="18345"/>
    <cellStyle name="Total 2 2 3 3 2" xfId="18346"/>
    <cellStyle name="Total 2 2 3 3 2 2" xfId="18347"/>
    <cellStyle name="Total 2 2 3 3 3" xfId="18348"/>
    <cellStyle name="Total 2 2 3 3 3 2" xfId="18349"/>
    <cellStyle name="Total 2 2 3 3 4" xfId="18350"/>
    <cellStyle name="Total 2 2 3 3 4 2" xfId="18351"/>
    <cellStyle name="Total 2 2 3 3 5" xfId="18352"/>
    <cellStyle name="Total 2 2 3 3 5 2" xfId="18353"/>
    <cellStyle name="Total 2 2 3 4" xfId="18354"/>
    <cellStyle name="Total 2 2 3 4 2" xfId="18355"/>
    <cellStyle name="Total 2 2 3 4 2 2" xfId="18356"/>
    <cellStyle name="Total 2 2 3 4 3" xfId="18357"/>
    <cellStyle name="Total 2 2 3 4 3 2" xfId="18358"/>
    <cellStyle name="Total 2 2 3 4 4" xfId="18359"/>
    <cellStyle name="Total 2 2 3 4 4 2" xfId="18360"/>
    <cellStyle name="Total 2 2 3 4 5" xfId="18361"/>
    <cellStyle name="Total 2 2 3 4 5 2" xfId="18362"/>
    <cellStyle name="Total 2 2 3 5" xfId="18363"/>
    <cellStyle name="Total 2 2 3 5 2" xfId="18364"/>
    <cellStyle name="Total 2 2 3 6" xfId="18365"/>
    <cellStyle name="Total 2 2 3 6 2" xfId="18366"/>
    <cellStyle name="Total 2 2 3 7" xfId="18367"/>
    <cellStyle name="Total 2 2 3 7 2" xfId="18368"/>
    <cellStyle name="Total 2 2 3 8" xfId="18369"/>
    <cellStyle name="Total 2 2 3 8 2" xfId="18370"/>
    <cellStyle name="Total 2 2 4" xfId="2717"/>
    <cellStyle name="Total 2 2 4 2" xfId="2718"/>
    <cellStyle name="Total 2 2 4 2 2" xfId="18371"/>
    <cellStyle name="Total 2 2 4 2 2 2" xfId="18372"/>
    <cellStyle name="Total 2 2 4 2 2 2 2" xfId="18373"/>
    <cellStyle name="Total 2 2 4 2 2 3" xfId="18374"/>
    <cellStyle name="Total 2 2 4 2 2 3 2" xfId="18375"/>
    <cellStyle name="Total 2 2 4 2 2 4" xfId="18376"/>
    <cellStyle name="Total 2 2 4 2 2 4 2" xfId="18377"/>
    <cellStyle name="Total 2 2 4 2 2 5" xfId="18378"/>
    <cellStyle name="Total 2 2 4 2 2 5 2" xfId="18379"/>
    <cellStyle name="Total 2 2 4 2 3" xfId="18380"/>
    <cellStyle name="Total 2 2 4 2 3 2" xfId="18381"/>
    <cellStyle name="Total 2 2 4 2 3 2 2" xfId="18382"/>
    <cellStyle name="Total 2 2 4 2 3 3" xfId="18383"/>
    <cellStyle name="Total 2 2 4 2 3 3 2" xfId="18384"/>
    <cellStyle name="Total 2 2 4 2 3 4" xfId="18385"/>
    <cellStyle name="Total 2 2 4 2 3 4 2" xfId="18386"/>
    <cellStyle name="Total 2 2 4 2 3 5" xfId="18387"/>
    <cellStyle name="Total 2 2 4 2 3 5 2" xfId="18388"/>
    <cellStyle name="Total 2 2 4 2 4" xfId="18389"/>
    <cellStyle name="Total 2 2 4 2 4 2" xfId="18390"/>
    <cellStyle name="Total 2 2 4 2 5" xfId="18391"/>
    <cellStyle name="Total 2 2 4 2 5 2" xfId="18392"/>
    <cellStyle name="Total 2 2 4 2 6" xfId="18393"/>
    <cellStyle name="Total 2 2 4 2 6 2" xfId="18394"/>
    <cellStyle name="Total 2 2 4 2 7" xfId="18395"/>
    <cellStyle name="Total 2 2 4 2 7 2" xfId="18396"/>
    <cellStyle name="Total 2 2 4 3" xfId="18397"/>
    <cellStyle name="Total 2 2 4 3 2" xfId="18398"/>
    <cellStyle name="Total 2 2 4 3 2 2" xfId="18399"/>
    <cellStyle name="Total 2 2 4 3 3" xfId="18400"/>
    <cellStyle name="Total 2 2 4 3 3 2" xfId="18401"/>
    <cellStyle name="Total 2 2 4 3 4" xfId="18402"/>
    <cellStyle name="Total 2 2 4 3 4 2" xfId="18403"/>
    <cellStyle name="Total 2 2 4 3 5" xfId="18404"/>
    <cellStyle name="Total 2 2 4 3 5 2" xfId="18405"/>
    <cellStyle name="Total 2 2 4 4" xfId="18406"/>
    <cellStyle name="Total 2 2 4 4 2" xfId="18407"/>
    <cellStyle name="Total 2 2 4 4 2 2" xfId="18408"/>
    <cellStyle name="Total 2 2 4 4 3" xfId="18409"/>
    <cellStyle name="Total 2 2 4 4 3 2" xfId="18410"/>
    <cellStyle name="Total 2 2 4 4 4" xfId="18411"/>
    <cellStyle name="Total 2 2 4 4 4 2" xfId="18412"/>
    <cellStyle name="Total 2 2 4 4 5" xfId="18413"/>
    <cellStyle name="Total 2 2 4 4 5 2" xfId="18414"/>
    <cellStyle name="Total 2 2 4 5" xfId="18415"/>
    <cellStyle name="Total 2 2 4 5 2" xfId="18416"/>
    <cellStyle name="Total 2 2 4 6" xfId="18417"/>
    <cellStyle name="Total 2 2 4 6 2" xfId="18418"/>
    <cellStyle name="Total 2 2 4 7" xfId="18419"/>
    <cellStyle name="Total 2 2 4 7 2" xfId="18420"/>
    <cellStyle name="Total 2 2 4 8" xfId="18421"/>
    <cellStyle name="Total 2 2 4 8 2" xfId="18422"/>
    <cellStyle name="Total 2 2 5" xfId="2719"/>
    <cellStyle name="Total 2 2 5 2" xfId="2720"/>
    <cellStyle name="Total 2 2 5 2 2" xfId="18423"/>
    <cellStyle name="Total 2 2 5 2 2 2" xfId="18424"/>
    <cellStyle name="Total 2 2 5 2 2 2 2" xfId="18425"/>
    <cellStyle name="Total 2 2 5 2 2 3" xfId="18426"/>
    <cellStyle name="Total 2 2 5 2 2 3 2" xfId="18427"/>
    <cellStyle name="Total 2 2 5 2 2 4" xfId="18428"/>
    <cellStyle name="Total 2 2 5 2 2 4 2" xfId="18429"/>
    <cellStyle name="Total 2 2 5 2 2 5" xfId="18430"/>
    <cellStyle name="Total 2 2 5 2 2 5 2" xfId="18431"/>
    <cellStyle name="Total 2 2 5 2 3" xfId="18432"/>
    <cellStyle name="Total 2 2 5 2 3 2" xfId="18433"/>
    <cellStyle name="Total 2 2 5 2 3 2 2" xfId="18434"/>
    <cellStyle name="Total 2 2 5 2 3 3" xfId="18435"/>
    <cellStyle name="Total 2 2 5 2 3 3 2" xfId="18436"/>
    <cellStyle name="Total 2 2 5 2 3 4" xfId="18437"/>
    <cellStyle name="Total 2 2 5 2 3 4 2" xfId="18438"/>
    <cellStyle name="Total 2 2 5 2 3 5" xfId="18439"/>
    <cellStyle name="Total 2 2 5 2 3 5 2" xfId="18440"/>
    <cellStyle name="Total 2 2 5 2 4" xfId="18441"/>
    <cellStyle name="Total 2 2 5 2 4 2" xfId="18442"/>
    <cellStyle name="Total 2 2 5 2 5" xfId="18443"/>
    <cellStyle name="Total 2 2 5 2 5 2" xfId="18444"/>
    <cellStyle name="Total 2 2 5 2 6" xfId="18445"/>
    <cellStyle name="Total 2 2 5 2 6 2" xfId="18446"/>
    <cellStyle name="Total 2 2 5 2 7" xfId="18447"/>
    <cellStyle name="Total 2 2 5 2 7 2" xfId="18448"/>
    <cellStyle name="Total 2 2 5 3" xfId="18449"/>
    <cellStyle name="Total 2 2 5 3 2" xfId="18450"/>
    <cellStyle name="Total 2 2 5 3 2 2" xfId="18451"/>
    <cellStyle name="Total 2 2 5 3 3" xfId="18452"/>
    <cellStyle name="Total 2 2 5 3 3 2" xfId="18453"/>
    <cellStyle name="Total 2 2 5 3 4" xfId="18454"/>
    <cellStyle name="Total 2 2 5 3 4 2" xfId="18455"/>
    <cellStyle name="Total 2 2 5 3 5" xfId="18456"/>
    <cellStyle name="Total 2 2 5 3 5 2" xfId="18457"/>
    <cellStyle name="Total 2 2 5 4" xfId="18458"/>
    <cellStyle name="Total 2 2 5 4 2" xfId="18459"/>
    <cellStyle name="Total 2 2 5 4 2 2" xfId="18460"/>
    <cellStyle name="Total 2 2 5 4 3" xfId="18461"/>
    <cellStyle name="Total 2 2 5 4 3 2" xfId="18462"/>
    <cellStyle name="Total 2 2 5 4 4" xfId="18463"/>
    <cellStyle name="Total 2 2 5 4 4 2" xfId="18464"/>
    <cellStyle name="Total 2 2 5 4 5" xfId="18465"/>
    <cellStyle name="Total 2 2 5 4 5 2" xfId="18466"/>
    <cellStyle name="Total 2 2 5 5" xfId="18467"/>
    <cellStyle name="Total 2 2 5 5 2" xfId="18468"/>
    <cellStyle name="Total 2 2 5 6" xfId="18469"/>
    <cellStyle name="Total 2 2 5 6 2" xfId="18470"/>
    <cellStyle name="Total 2 2 5 7" xfId="18471"/>
    <cellStyle name="Total 2 2 5 7 2" xfId="18472"/>
    <cellStyle name="Total 2 2 5 8" xfId="18473"/>
    <cellStyle name="Total 2 2 5 8 2" xfId="18474"/>
    <cellStyle name="Total 2 2 6" xfId="2721"/>
    <cellStyle name="Total 2 2 6 2" xfId="18475"/>
    <cellStyle name="Total 2 2 6 2 2" xfId="18476"/>
    <cellStyle name="Total 2 2 6 2 2 2" xfId="18477"/>
    <cellStyle name="Total 2 2 6 2 3" xfId="18478"/>
    <cellStyle name="Total 2 2 6 2 3 2" xfId="18479"/>
    <cellStyle name="Total 2 2 6 2 4" xfId="18480"/>
    <cellStyle name="Total 2 2 6 2 4 2" xfId="18481"/>
    <cellStyle name="Total 2 2 6 2 5" xfId="18482"/>
    <cellStyle name="Total 2 2 6 2 5 2" xfId="18483"/>
    <cellStyle name="Total 2 2 6 3" xfId="18484"/>
    <cellStyle name="Total 2 2 6 3 2" xfId="18485"/>
    <cellStyle name="Total 2 2 6 3 2 2" xfId="18486"/>
    <cellStyle name="Total 2 2 6 3 3" xfId="18487"/>
    <cellStyle name="Total 2 2 6 3 3 2" xfId="18488"/>
    <cellStyle name="Total 2 2 6 3 4" xfId="18489"/>
    <cellStyle name="Total 2 2 6 3 4 2" xfId="18490"/>
    <cellStyle name="Total 2 2 6 3 5" xfId="18491"/>
    <cellStyle name="Total 2 2 6 3 5 2" xfId="18492"/>
    <cellStyle name="Total 2 2 6 4" xfId="18493"/>
    <cellStyle name="Total 2 2 6 4 2" xfId="18494"/>
    <cellStyle name="Total 2 2 6 5" xfId="18495"/>
    <cellStyle name="Total 2 2 6 5 2" xfId="18496"/>
    <cellStyle name="Total 2 2 6 6" xfId="18497"/>
    <cellStyle name="Total 2 2 6 6 2" xfId="18498"/>
    <cellStyle name="Total 2 2 6 7" xfId="18499"/>
    <cellStyle name="Total 2 2 6 7 2" xfId="18500"/>
    <cellStyle name="Total 2 2 7" xfId="18501"/>
    <cellStyle name="Total 2 2 7 2" xfId="18502"/>
    <cellStyle name="Total 2 2 7 2 2" xfId="18503"/>
    <cellStyle name="Total 2 2 7 3" xfId="18504"/>
    <cellStyle name="Total 2 2 7 3 2" xfId="18505"/>
    <cellStyle name="Total 2 2 7 4" xfId="18506"/>
    <cellStyle name="Total 2 2 7 4 2" xfId="18507"/>
    <cellStyle name="Total 2 2 7 5" xfId="18508"/>
    <cellStyle name="Total 2 2 7 5 2" xfId="18509"/>
    <cellStyle name="Total 2 2 8" xfId="18510"/>
    <cellStyle name="Total 2 2 8 2" xfId="18511"/>
    <cellStyle name="Total 2 2 8 2 2" xfId="18512"/>
    <cellStyle name="Total 2 2 8 3" xfId="18513"/>
    <cellStyle name="Total 2 2 8 3 2" xfId="18514"/>
    <cellStyle name="Total 2 2 8 4" xfId="18515"/>
    <cellStyle name="Total 2 2 8 4 2" xfId="18516"/>
    <cellStyle name="Total 2 2 8 5" xfId="18517"/>
    <cellStyle name="Total 2 2 8 5 2" xfId="18518"/>
    <cellStyle name="Total 2 2 9" xfId="18519"/>
    <cellStyle name="Total 2 2 9 2" xfId="18520"/>
    <cellStyle name="Total 2 3" xfId="1987"/>
    <cellStyle name="Total 2 3 10" xfId="18521"/>
    <cellStyle name="Total 2 3 10 2" xfId="18522"/>
    <cellStyle name="Total 2 3 11" xfId="18523"/>
    <cellStyle name="Total 2 3 11 2" xfId="18524"/>
    <cellStyle name="Total 2 3 12" xfId="18525"/>
    <cellStyle name="Total 2 3 12 2" xfId="18526"/>
    <cellStyle name="Total 2 3 2" xfId="2722"/>
    <cellStyle name="Total 2 3 2 2" xfId="2723"/>
    <cellStyle name="Total 2 3 2 2 2" xfId="18527"/>
    <cellStyle name="Total 2 3 2 2 2 2" xfId="18528"/>
    <cellStyle name="Total 2 3 2 2 2 2 2" xfId="18529"/>
    <cellStyle name="Total 2 3 2 2 2 3" xfId="18530"/>
    <cellStyle name="Total 2 3 2 2 2 3 2" xfId="18531"/>
    <cellStyle name="Total 2 3 2 2 2 4" xfId="18532"/>
    <cellStyle name="Total 2 3 2 2 2 4 2" xfId="18533"/>
    <cellStyle name="Total 2 3 2 2 2 5" xfId="18534"/>
    <cellStyle name="Total 2 3 2 2 2 5 2" xfId="18535"/>
    <cellStyle name="Total 2 3 2 2 3" xfId="18536"/>
    <cellStyle name="Total 2 3 2 2 3 2" xfId="18537"/>
    <cellStyle name="Total 2 3 2 2 3 2 2" xfId="18538"/>
    <cellStyle name="Total 2 3 2 2 3 3" xfId="18539"/>
    <cellStyle name="Total 2 3 2 2 3 3 2" xfId="18540"/>
    <cellStyle name="Total 2 3 2 2 3 4" xfId="18541"/>
    <cellStyle name="Total 2 3 2 2 3 4 2" xfId="18542"/>
    <cellStyle name="Total 2 3 2 2 3 5" xfId="18543"/>
    <cellStyle name="Total 2 3 2 2 3 5 2" xfId="18544"/>
    <cellStyle name="Total 2 3 2 2 4" xfId="18545"/>
    <cellStyle name="Total 2 3 2 2 4 2" xfId="18546"/>
    <cellStyle name="Total 2 3 2 2 5" xfId="18547"/>
    <cellStyle name="Total 2 3 2 2 5 2" xfId="18548"/>
    <cellStyle name="Total 2 3 2 2 6" xfId="18549"/>
    <cellStyle name="Total 2 3 2 2 6 2" xfId="18550"/>
    <cellStyle name="Total 2 3 2 2 7" xfId="18551"/>
    <cellStyle name="Total 2 3 2 2 7 2" xfId="18552"/>
    <cellStyle name="Total 2 3 2 3" xfId="18553"/>
    <cellStyle name="Total 2 3 2 3 2" xfId="18554"/>
    <cellStyle name="Total 2 3 2 3 2 2" xfId="18555"/>
    <cellStyle name="Total 2 3 2 3 3" xfId="18556"/>
    <cellStyle name="Total 2 3 2 3 3 2" xfId="18557"/>
    <cellStyle name="Total 2 3 2 3 4" xfId="18558"/>
    <cellStyle name="Total 2 3 2 3 4 2" xfId="18559"/>
    <cellStyle name="Total 2 3 2 3 5" xfId="18560"/>
    <cellStyle name="Total 2 3 2 3 5 2" xfId="18561"/>
    <cellStyle name="Total 2 3 2 4" xfId="18562"/>
    <cellStyle name="Total 2 3 2 4 2" xfId="18563"/>
    <cellStyle name="Total 2 3 2 4 2 2" xfId="18564"/>
    <cellStyle name="Total 2 3 2 4 3" xfId="18565"/>
    <cellStyle name="Total 2 3 2 4 3 2" xfId="18566"/>
    <cellStyle name="Total 2 3 2 4 4" xfId="18567"/>
    <cellStyle name="Total 2 3 2 4 4 2" xfId="18568"/>
    <cellStyle name="Total 2 3 2 4 5" xfId="18569"/>
    <cellStyle name="Total 2 3 2 4 5 2" xfId="18570"/>
    <cellStyle name="Total 2 3 2 5" xfId="18571"/>
    <cellStyle name="Total 2 3 2 5 2" xfId="18572"/>
    <cellStyle name="Total 2 3 2 6" xfId="18573"/>
    <cellStyle name="Total 2 3 2 6 2" xfId="18574"/>
    <cellStyle name="Total 2 3 2 7" xfId="18575"/>
    <cellStyle name="Total 2 3 2 7 2" xfId="18576"/>
    <cellStyle name="Total 2 3 2 8" xfId="18577"/>
    <cellStyle name="Total 2 3 2 8 2" xfId="18578"/>
    <cellStyle name="Total 2 3 3" xfId="2724"/>
    <cellStyle name="Total 2 3 3 2" xfId="2725"/>
    <cellStyle name="Total 2 3 3 2 2" xfId="18579"/>
    <cellStyle name="Total 2 3 3 2 2 2" xfId="18580"/>
    <cellStyle name="Total 2 3 3 2 2 2 2" xfId="18581"/>
    <cellStyle name="Total 2 3 3 2 2 3" xfId="18582"/>
    <cellStyle name="Total 2 3 3 2 2 3 2" xfId="18583"/>
    <cellStyle name="Total 2 3 3 2 2 4" xfId="18584"/>
    <cellStyle name="Total 2 3 3 2 2 4 2" xfId="18585"/>
    <cellStyle name="Total 2 3 3 2 2 5" xfId="18586"/>
    <cellStyle name="Total 2 3 3 2 2 5 2" xfId="18587"/>
    <cellStyle name="Total 2 3 3 2 3" xfId="18588"/>
    <cellStyle name="Total 2 3 3 2 3 2" xfId="18589"/>
    <cellStyle name="Total 2 3 3 2 3 2 2" xfId="18590"/>
    <cellStyle name="Total 2 3 3 2 3 3" xfId="18591"/>
    <cellStyle name="Total 2 3 3 2 3 3 2" xfId="18592"/>
    <cellStyle name="Total 2 3 3 2 3 4" xfId="18593"/>
    <cellStyle name="Total 2 3 3 2 3 4 2" xfId="18594"/>
    <cellStyle name="Total 2 3 3 2 3 5" xfId="18595"/>
    <cellStyle name="Total 2 3 3 2 3 5 2" xfId="18596"/>
    <cellStyle name="Total 2 3 3 2 4" xfId="18597"/>
    <cellStyle name="Total 2 3 3 2 4 2" xfId="18598"/>
    <cellStyle name="Total 2 3 3 2 5" xfId="18599"/>
    <cellStyle name="Total 2 3 3 2 5 2" xfId="18600"/>
    <cellStyle name="Total 2 3 3 2 6" xfId="18601"/>
    <cellStyle name="Total 2 3 3 2 6 2" xfId="18602"/>
    <cellStyle name="Total 2 3 3 2 7" xfId="18603"/>
    <cellStyle name="Total 2 3 3 2 7 2" xfId="18604"/>
    <cellStyle name="Total 2 3 3 3" xfId="18605"/>
    <cellStyle name="Total 2 3 3 3 2" xfId="18606"/>
    <cellStyle name="Total 2 3 3 3 2 2" xfId="18607"/>
    <cellStyle name="Total 2 3 3 3 3" xfId="18608"/>
    <cellStyle name="Total 2 3 3 3 3 2" xfId="18609"/>
    <cellStyle name="Total 2 3 3 3 4" xfId="18610"/>
    <cellStyle name="Total 2 3 3 3 4 2" xfId="18611"/>
    <cellStyle name="Total 2 3 3 3 5" xfId="18612"/>
    <cellStyle name="Total 2 3 3 3 5 2" xfId="18613"/>
    <cellStyle name="Total 2 3 3 4" xfId="18614"/>
    <cellStyle name="Total 2 3 3 4 2" xfId="18615"/>
    <cellStyle name="Total 2 3 3 4 2 2" xfId="18616"/>
    <cellStyle name="Total 2 3 3 4 3" xfId="18617"/>
    <cellStyle name="Total 2 3 3 4 3 2" xfId="18618"/>
    <cellStyle name="Total 2 3 3 4 4" xfId="18619"/>
    <cellStyle name="Total 2 3 3 4 4 2" xfId="18620"/>
    <cellStyle name="Total 2 3 3 4 5" xfId="18621"/>
    <cellStyle name="Total 2 3 3 4 5 2" xfId="18622"/>
    <cellStyle name="Total 2 3 3 5" xfId="18623"/>
    <cellStyle name="Total 2 3 3 5 2" xfId="18624"/>
    <cellStyle name="Total 2 3 3 6" xfId="18625"/>
    <cellStyle name="Total 2 3 3 6 2" xfId="18626"/>
    <cellStyle name="Total 2 3 3 7" xfId="18627"/>
    <cellStyle name="Total 2 3 3 7 2" xfId="18628"/>
    <cellStyle name="Total 2 3 3 8" xfId="18629"/>
    <cellStyle name="Total 2 3 3 8 2" xfId="18630"/>
    <cellStyle name="Total 2 3 4" xfId="2726"/>
    <cellStyle name="Total 2 3 4 2" xfId="2727"/>
    <cellStyle name="Total 2 3 4 2 2" xfId="18631"/>
    <cellStyle name="Total 2 3 4 2 2 2" xfId="18632"/>
    <cellStyle name="Total 2 3 4 2 2 2 2" xfId="18633"/>
    <cellStyle name="Total 2 3 4 2 2 3" xfId="18634"/>
    <cellStyle name="Total 2 3 4 2 2 3 2" xfId="18635"/>
    <cellStyle name="Total 2 3 4 2 2 4" xfId="18636"/>
    <cellStyle name="Total 2 3 4 2 2 4 2" xfId="18637"/>
    <cellStyle name="Total 2 3 4 2 2 5" xfId="18638"/>
    <cellStyle name="Total 2 3 4 2 2 5 2" xfId="18639"/>
    <cellStyle name="Total 2 3 4 2 3" xfId="18640"/>
    <cellStyle name="Total 2 3 4 2 3 2" xfId="18641"/>
    <cellStyle name="Total 2 3 4 2 3 2 2" xfId="18642"/>
    <cellStyle name="Total 2 3 4 2 3 3" xfId="18643"/>
    <cellStyle name="Total 2 3 4 2 3 3 2" xfId="18644"/>
    <cellStyle name="Total 2 3 4 2 3 4" xfId="18645"/>
    <cellStyle name="Total 2 3 4 2 3 4 2" xfId="18646"/>
    <cellStyle name="Total 2 3 4 2 3 5" xfId="18647"/>
    <cellStyle name="Total 2 3 4 2 3 5 2" xfId="18648"/>
    <cellStyle name="Total 2 3 4 2 4" xfId="18649"/>
    <cellStyle name="Total 2 3 4 2 4 2" xfId="18650"/>
    <cellStyle name="Total 2 3 4 2 5" xfId="18651"/>
    <cellStyle name="Total 2 3 4 2 5 2" xfId="18652"/>
    <cellStyle name="Total 2 3 4 2 6" xfId="18653"/>
    <cellStyle name="Total 2 3 4 2 6 2" xfId="18654"/>
    <cellStyle name="Total 2 3 4 2 7" xfId="18655"/>
    <cellStyle name="Total 2 3 4 2 7 2" xfId="18656"/>
    <cellStyle name="Total 2 3 4 3" xfId="18657"/>
    <cellStyle name="Total 2 3 4 3 2" xfId="18658"/>
    <cellStyle name="Total 2 3 4 3 2 2" xfId="18659"/>
    <cellStyle name="Total 2 3 4 3 3" xfId="18660"/>
    <cellStyle name="Total 2 3 4 3 3 2" xfId="18661"/>
    <cellStyle name="Total 2 3 4 3 4" xfId="18662"/>
    <cellStyle name="Total 2 3 4 3 4 2" xfId="18663"/>
    <cellStyle name="Total 2 3 4 3 5" xfId="18664"/>
    <cellStyle name="Total 2 3 4 3 5 2" xfId="18665"/>
    <cellStyle name="Total 2 3 4 4" xfId="18666"/>
    <cellStyle name="Total 2 3 4 4 2" xfId="18667"/>
    <cellStyle name="Total 2 3 4 4 2 2" xfId="18668"/>
    <cellStyle name="Total 2 3 4 4 3" xfId="18669"/>
    <cellStyle name="Total 2 3 4 4 3 2" xfId="18670"/>
    <cellStyle name="Total 2 3 4 4 4" xfId="18671"/>
    <cellStyle name="Total 2 3 4 4 4 2" xfId="18672"/>
    <cellStyle name="Total 2 3 4 4 5" xfId="18673"/>
    <cellStyle name="Total 2 3 4 4 5 2" xfId="18674"/>
    <cellStyle name="Total 2 3 4 5" xfId="18675"/>
    <cellStyle name="Total 2 3 4 5 2" xfId="18676"/>
    <cellStyle name="Total 2 3 4 6" xfId="18677"/>
    <cellStyle name="Total 2 3 4 6 2" xfId="18678"/>
    <cellStyle name="Total 2 3 4 7" xfId="18679"/>
    <cellStyle name="Total 2 3 4 7 2" xfId="18680"/>
    <cellStyle name="Total 2 3 4 8" xfId="18681"/>
    <cellStyle name="Total 2 3 4 8 2" xfId="18682"/>
    <cellStyle name="Total 2 3 5" xfId="2728"/>
    <cellStyle name="Total 2 3 5 2" xfId="2729"/>
    <cellStyle name="Total 2 3 5 2 2" xfId="18683"/>
    <cellStyle name="Total 2 3 5 2 2 2" xfId="18684"/>
    <cellStyle name="Total 2 3 5 2 2 2 2" xfId="18685"/>
    <cellStyle name="Total 2 3 5 2 2 3" xfId="18686"/>
    <cellStyle name="Total 2 3 5 2 2 3 2" xfId="18687"/>
    <cellStyle name="Total 2 3 5 2 2 4" xfId="18688"/>
    <cellStyle name="Total 2 3 5 2 2 4 2" xfId="18689"/>
    <cellStyle name="Total 2 3 5 2 2 5" xfId="18690"/>
    <cellStyle name="Total 2 3 5 2 2 5 2" xfId="18691"/>
    <cellStyle name="Total 2 3 5 2 3" xfId="18692"/>
    <cellStyle name="Total 2 3 5 2 3 2" xfId="18693"/>
    <cellStyle name="Total 2 3 5 2 3 2 2" xfId="18694"/>
    <cellStyle name="Total 2 3 5 2 3 3" xfId="18695"/>
    <cellStyle name="Total 2 3 5 2 3 3 2" xfId="18696"/>
    <cellStyle name="Total 2 3 5 2 3 4" xfId="18697"/>
    <cellStyle name="Total 2 3 5 2 3 4 2" xfId="18698"/>
    <cellStyle name="Total 2 3 5 2 3 5" xfId="18699"/>
    <cellStyle name="Total 2 3 5 2 3 5 2" xfId="18700"/>
    <cellStyle name="Total 2 3 5 2 4" xfId="18701"/>
    <cellStyle name="Total 2 3 5 2 4 2" xfId="18702"/>
    <cellStyle name="Total 2 3 5 2 5" xfId="18703"/>
    <cellStyle name="Total 2 3 5 2 5 2" xfId="18704"/>
    <cellStyle name="Total 2 3 5 2 6" xfId="18705"/>
    <cellStyle name="Total 2 3 5 2 6 2" xfId="18706"/>
    <cellStyle name="Total 2 3 5 2 7" xfId="18707"/>
    <cellStyle name="Total 2 3 5 2 7 2" xfId="18708"/>
    <cellStyle name="Total 2 3 5 3" xfId="18709"/>
    <cellStyle name="Total 2 3 5 3 2" xfId="18710"/>
    <cellStyle name="Total 2 3 5 3 2 2" xfId="18711"/>
    <cellStyle name="Total 2 3 5 3 3" xfId="18712"/>
    <cellStyle name="Total 2 3 5 3 3 2" xfId="18713"/>
    <cellStyle name="Total 2 3 5 3 4" xfId="18714"/>
    <cellStyle name="Total 2 3 5 3 4 2" xfId="18715"/>
    <cellStyle name="Total 2 3 5 3 5" xfId="18716"/>
    <cellStyle name="Total 2 3 5 3 5 2" xfId="18717"/>
    <cellStyle name="Total 2 3 5 4" xfId="18718"/>
    <cellStyle name="Total 2 3 5 4 2" xfId="18719"/>
    <cellStyle name="Total 2 3 5 4 2 2" xfId="18720"/>
    <cellStyle name="Total 2 3 5 4 3" xfId="18721"/>
    <cellStyle name="Total 2 3 5 4 3 2" xfId="18722"/>
    <cellStyle name="Total 2 3 5 4 4" xfId="18723"/>
    <cellStyle name="Total 2 3 5 4 4 2" xfId="18724"/>
    <cellStyle name="Total 2 3 5 4 5" xfId="18725"/>
    <cellStyle name="Total 2 3 5 4 5 2" xfId="18726"/>
    <cellStyle name="Total 2 3 5 5" xfId="18727"/>
    <cellStyle name="Total 2 3 5 5 2" xfId="18728"/>
    <cellStyle name="Total 2 3 5 6" xfId="18729"/>
    <cellStyle name="Total 2 3 5 6 2" xfId="18730"/>
    <cellStyle name="Total 2 3 5 7" xfId="18731"/>
    <cellStyle name="Total 2 3 5 7 2" xfId="18732"/>
    <cellStyle name="Total 2 3 5 8" xfId="18733"/>
    <cellStyle name="Total 2 3 5 8 2" xfId="18734"/>
    <cellStyle name="Total 2 3 6" xfId="2730"/>
    <cellStyle name="Total 2 3 6 2" xfId="18735"/>
    <cellStyle name="Total 2 3 6 2 2" xfId="18736"/>
    <cellStyle name="Total 2 3 6 2 2 2" xfId="18737"/>
    <cellStyle name="Total 2 3 6 2 3" xfId="18738"/>
    <cellStyle name="Total 2 3 6 2 3 2" xfId="18739"/>
    <cellStyle name="Total 2 3 6 2 4" xfId="18740"/>
    <cellStyle name="Total 2 3 6 2 4 2" xfId="18741"/>
    <cellStyle name="Total 2 3 6 2 5" xfId="18742"/>
    <cellStyle name="Total 2 3 6 2 5 2" xfId="18743"/>
    <cellStyle name="Total 2 3 6 3" xfId="18744"/>
    <cellStyle name="Total 2 3 6 3 2" xfId="18745"/>
    <cellStyle name="Total 2 3 6 3 2 2" xfId="18746"/>
    <cellStyle name="Total 2 3 6 3 3" xfId="18747"/>
    <cellStyle name="Total 2 3 6 3 3 2" xfId="18748"/>
    <cellStyle name="Total 2 3 6 3 4" xfId="18749"/>
    <cellStyle name="Total 2 3 6 3 4 2" xfId="18750"/>
    <cellStyle name="Total 2 3 6 3 5" xfId="18751"/>
    <cellStyle name="Total 2 3 6 3 5 2" xfId="18752"/>
    <cellStyle name="Total 2 3 6 4" xfId="18753"/>
    <cellStyle name="Total 2 3 6 4 2" xfId="18754"/>
    <cellStyle name="Total 2 3 6 5" xfId="18755"/>
    <cellStyle name="Total 2 3 6 5 2" xfId="18756"/>
    <cellStyle name="Total 2 3 6 6" xfId="18757"/>
    <cellStyle name="Total 2 3 6 6 2" xfId="18758"/>
    <cellStyle name="Total 2 3 6 7" xfId="18759"/>
    <cellStyle name="Total 2 3 6 7 2" xfId="18760"/>
    <cellStyle name="Total 2 3 7" xfId="18761"/>
    <cellStyle name="Total 2 3 7 2" xfId="18762"/>
    <cellStyle name="Total 2 3 7 2 2" xfId="18763"/>
    <cellStyle name="Total 2 3 7 3" xfId="18764"/>
    <cellStyle name="Total 2 3 7 3 2" xfId="18765"/>
    <cellStyle name="Total 2 3 7 4" xfId="18766"/>
    <cellStyle name="Total 2 3 7 4 2" xfId="18767"/>
    <cellStyle name="Total 2 3 7 5" xfId="18768"/>
    <cellStyle name="Total 2 3 7 5 2" xfId="18769"/>
    <cellStyle name="Total 2 3 8" xfId="18770"/>
    <cellStyle name="Total 2 3 8 2" xfId="18771"/>
    <cellStyle name="Total 2 3 8 2 2" xfId="18772"/>
    <cellStyle name="Total 2 3 8 3" xfId="18773"/>
    <cellStyle name="Total 2 3 8 3 2" xfId="18774"/>
    <cellStyle name="Total 2 3 8 4" xfId="18775"/>
    <cellStyle name="Total 2 3 8 4 2" xfId="18776"/>
    <cellStyle name="Total 2 3 8 5" xfId="18777"/>
    <cellStyle name="Total 2 3 8 5 2" xfId="18778"/>
    <cellStyle name="Total 2 3 9" xfId="18779"/>
    <cellStyle name="Total 2 3 9 2" xfId="18780"/>
    <cellStyle name="Total 2 4" xfId="1988"/>
    <cellStyle name="Total 2 4 2" xfId="18781"/>
    <cellStyle name="Total 2 4 2 2" xfId="18782"/>
    <cellStyle name="Total 2 4 2 2 2" xfId="18783"/>
    <cellStyle name="Total 2 4 2 3" xfId="18784"/>
    <cellStyle name="Total 2 4 2 3 2" xfId="18785"/>
    <cellStyle name="Total 2 4 2 4" xfId="18786"/>
    <cellStyle name="Total 2 4 2 4 2" xfId="18787"/>
    <cellStyle name="Total 2 4 2 5" xfId="18788"/>
    <cellStyle name="Total 2 4 2 5 2" xfId="18789"/>
    <cellStyle name="Total 2 4 3" xfId="18790"/>
    <cellStyle name="Total 2 4 3 2" xfId="18791"/>
    <cellStyle name="Total 2 4 3 2 2" xfId="18792"/>
    <cellStyle name="Total 2 4 3 3" xfId="18793"/>
    <cellStyle name="Total 2 4 3 3 2" xfId="18794"/>
    <cellStyle name="Total 2 4 3 4" xfId="18795"/>
    <cellStyle name="Total 2 4 3 4 2" xfId="18796"/>
    <cellStyle name="Total 2 4 3 5" xfId="18797"/>
    <cellStyle name="Total 2 4 3 5 2" xfId="18798"/>
    <cellStyle name="Total 2 4 4" xfId="18799"/>
    <cellStyle name="Total 2 4 4 2" xfId="18800"/>
    <cellStyle name="Total 2 4 5" xfId="18801"/>
    <cellStyle name="Total 2 4 5 2" xfId="18802"/>
    <cellStyle name="Total 2 4 6" xfId="18803"/>
    <cellStyle name="Total 2 4 6 2" xfId="18804"/>
    <cellStyle name="Total 2 4 7" xfId="18805"/>
    <cellStyle name="Total 2 4 7 2" xfId="18806"/>
    <cellStyle name="Total 2 5" xfId="1989"/>
    <cellStyle name="Total 2 5 2" xfId="18807"/>
    <cellStyle name="Total 2 5 2 2" xfId="18808"/>
    <cellStyle name="Total 2 5 2 2 2" xfId="18809"/>
    <cellStyle name="Total 2 5 2 3" xfId="18810"/>
    <cellStyle name="Total 2 5 2 3 2" xfId="18811"/>
    <cellStyle name="Total 2 5 2 4" xfId="18812"/>
    <cellStyle name="Total 2 5 2 4 2" xfId="18813"/>
    <cellStyle name="Total 2 5 2 5" xfId="18814"/>
    <cellStyle name="Total 2 5 2 5 2" xfId="18815"/>
    <cellStyle name="Total 2 5 3" xfId="18816"/>
    <cellStyle name="Total 2 5 3 2" xfId="18817"/>
    <cellStyle name="Total 2 5 3 2 2" xfId="18818"/>
    <cellStyle name="Total 2 5 3 3" xfId="18819"/>
    <cellStyle name="Total 2 5 3 3 2" xfId="18820"/>
    <cellStyle name="Total 2 5 3 4" xfId="18821"/>
    <cellStyle name="Total 2 5 3 4 2" xfId="18822"/>
    <cellStyle name="Total 2 5 3 5" xfId="18823"/>
    <cellStyle name="Total 2 5 3 5 2" xfId="18824"/>
    <cellStyle name="Total 2 5 4" xfId="18825"/>
    <cellStyle name="Total 2 5 4 2" xfId="18826"/>
    <cellStyle name="Total 2 5 5" xfId="18827"/>
    <cellStyle name="Total 2 5 5 2" xfId="18828"/>
    <cellStyle name="Total 2 5 6" xfId="18829"/>
    <cellStyle name="Total 2 5 6 2" xfId="18830"/>
    <cellStyle name="Total 2 5 7" xfId="18831"/>
    <cellStyle name="Total 2 5 7 2" xfId="18832"/>
    <cellStyle name="Total 2 6" xfId="1990"/>
    <cellStyle name="Total 2 6 2" xfId="18833"/>
    <cellStyle name="Total 2 6 2 2" xfId="18834"/>
    <cellStyle name="Total 2 6 2 2 2" xfId="18835"/>
    <cellStyle name="Total 2 6 2 3" xfId="18836"/>
    <cellStyle name="Total 2 6 2 3 2" xfId="18837"/>
    <cellStyle name="Total 2 6 2 4" xfId="18838"/>
    <cellStyle name="Total 2 6 2 4 2" xfId="18839"/>
    <cellStyle name="Total 2 6 2 5" xfId="18840"/>
    <cellStyle name="Total 2 6 2 5 2" xfId="18841"/>
    <cellStyle name="Total 2 6 3" xfId="18842"/>
    <cellStyle name="Total 2 6 3 2" xfId="18843"/>
    <cellStyle name="Total 2 6 3 2 2" xfId="18844"/>
    <cellStyle name="Total 2 6 3 3" xfId="18845"/>
    <cellStyle name="Total 2 6 3 3 2" xfId="18846"/>
    <cellStyle name="Total 2 6 3 4" xfId="18847"/>
    <cellStyle name="Total 2 6 3 4 2" xfId="18848"/>
    <cellStyle name="Total 2 6 3 5" xfId="18849"/>
    <cellStyle name="Total 2 6 3 5 2" xfId="18850"/>
    <cellStyle name="Total 2 6 4" xfId="18851"/>
    <cellStyle name="Total 2 6 4 2" xfId="18852"/>
    <cellStyle name="Total 2 6 5" xfId="18853"/>
    <cellStyle name="Total 2 6 5 2" xfId="18854"/>
    <cellStyle name="Total 2 6 6" xfId="18855"/>
    <cellStyle name="Total 2 6 6 2" xfId="18856"/>
    <cellStyle name="Total 2 6 7" xfId="18857"/>
    <cellStyle name="Total 2 6 7 2" xfId="18858"/>
    <cellStyle name="Total 2_PIP" xfId="1991"/>
    <cellStyle name="Total 3" xfId="1992"/>
    <cellStyle name="Total 3 10" xfId="18859"/>
    <cellStyle name="Total 3 10 2" xfId="18860"/>
    <cellStyle name="Total 3 11" xfId="18861"/>
    <cellStyle name="Total 3 11 2" xfId="18862"/>
    <cellStyle name="Total 3 12" xfId="18863"/>
    <cellStyle name="Total 3 12 2" xfId="18864"/>
    <cellStyle name="Total 3 13" xfId="18865"/>
    <cellStyle name="Total 3 13 2" xfId="18866"/>
    <cellStyle name="Total 3 2" xfId="2731"/>
    <cellStyle name="Total 3 2 10" xfId="18867"/>
    <cellStyle name="Total 3 2 10 2" xfId="18868"/>
    <cellStyle name="Total 3 2 11" xfId="18869"/>
    <cellStyle name="Total 3 2 11 2" xfId="18870"/>
    <cellStyle name="Total 3 2 12" xfId="18871"/>
    <cellStyle name="Total 3 2 12 2" xfId="18872"/>
    <cellStyle name="Total 3 2 2" xfId="2732"/>
    <cellStyle name="Total 3 2 2 2" xfId="2733"/>
    <cellStyle name="Total 3 2 2 2 2" xfId="18873"/>
    <cellStyle name="Total 3 2 2 2 2 2" xfId="18874"/>
    <cellStyle name="Total 3 2 2 2 2 2 2" xfId="18875"/>
    <cellStyle name="Total 3 2 2 2 2 3" xfId="18876"/>
    <cellStyle name="Total 3 2 2 2 2 3 2" xfId="18877"/>
    <cellStyle name="Total 3 2 2 2 2 4" xfId="18878"/>
    <cellStyle name="Total 3 2 2 2 2 4 2" xfId="18879"/>
    <cellStyle name="Total 3 2 2 2 2 5" xfId="18880"/>
    <cellStyle name="Total 3 2 2 2 2 5 2" xfId="18881"/>
    <cellStyle name="Total 3 2 2 2 3" xfId="18882"/>
    <cellStyle name="Total 3 2 2 2 3 2" xfId="18883"/>
    <cellStyle name="Total 3 2 2 2 3 2 2" xfId="18884"/>
    <cellStyle name="Total 3 2 2 2 3 3" xfId="18885"/>
    <cellStyle name="Total 3 2 2 2 3 3 2" xfId="18886"/>
    <cellStyle name="Total 3 2 2 2 3 4" xfId="18887"/>
    <cellStyle name="Total 3 2 2 2 3 4 2" xfId="18888"/>
    <cellStyle name="Total 3 2 2 2 3 5" xfId="18889"/>
    <cellStyle name="Total 3 2 2 2 3 5 2" xfId="18890"/>
    <cellStyle name="Total 3 2 2 2 4" xfId="18891"/>
    <cellStyle name="Total 3 2 2 2 4 2" xfId="18892"/>
    <cellStyle name="Total 3 2 2 2 5" xfId="18893"/>
    <cellStyle name="Total 3 2 2 2 5 2" xfId="18894"/>
    <cellStyle name="Total 3 2 2 2 6" xfId="18895"/>
    <cellStyle name="Total 3 2 2 2 6 2" xfId="18896"/>
    <cellStyle name="Total 3 2 2 2 7" xfId="18897"/>
    <cellStyle name="Total 3 2 2 2 7 2" xfId="18898"/>
    <cellStyle name="Total 3 2 2 3" xfId="18899"/>
    <cellStyle name="Total 3 2 2 3 2" xfId="18900"/>
    <cellStyle name="Total 3 2 2 3 2 2" xfId="18901"/>
    <cellStyle name="Total 3 2 2 3 3" xfId="18902"/>
    <cellStyle name="Total 3 2 2 3 3 2" xfId="18903"/>
    <cellStyle name="Total 3 2 2 3 4" xfId="18904"/>
    <cellStyle name="Total 3 2 2 3 4 2" xfId="18905"/>
    <cellStyle name="Total 3 2 2 3 5" xfId="18906"/>
    <cellStyle name="Total 3 2 2 3 5 2" xfId="18907"/>
    <cellStyle name="Total 3 2 2 4" xfId="18908"/>
    <cellStyle name="Total 3 2 2 4 2" xfId="18909"/>
    <cellStyle name="Total 3 2 2 4 2 2" xfId="18910"/>
    <cellStyle name="Total 3 2 2 4 3" xfId="18911"/>
    <cellStyle name="Total 3 2 2 4 3 2" xfId="18912"/>
    <cellStyle name="Total 3 2 2 4 4" xfId="18913"/>
    <cellStyle name="Total 3 2 2 4 4 2" xfId="18914"/>
    <cellStyle name="Total 3 2 2 4 5" xfId="18915"/>
    <cellStyle name="Total 3 2 2 4 5 2" xfId="18916"/>
    <cellStyle name="Total 3 2 2 5" xfId="18917"/>
    <cellStyle name="Total 3 2 2 5 2" xfId="18918"/>
    <cellStyle name="Total 3 2 2 6" xfId="18919"/>
    <cellStyle name="Total 3 2 2 6 2" xfId="18920"/>
    <cellStyle name="Total 3 2 2 7" xfId="18921"/>
    <cellStyle name="Total 3 2 2 7 2" xfId="18922"/>
    <cellStyle name="Total 3 2 2 8" xfId="18923"/>
    <cellStyle name="Total 3 2 2 8 2" xfId="18924"/>
    <cellStyle name="Total 3 2 3" xfId="2734"/>
    <cellStyle name="Total 3 2 3 2" xfId="2735"/>
    <cellStyle name="Total 3 2 3 2 2" xfId="18925"/>
    <cellStyle name="Total 3 2 3 2 2 2" xfId="18926"/>
    <cellStyle name="Total 3 2 3 2 2 2 2" xfId="18927"/>
    <cellStyle name="Total 3 2 3 2 2 3" xfId="18928"/>
    <cellStyle name="Total 3 2 3 2 2 3 2" xfId="18929"/>
    <cellStyle name="Total 3 2 3 2 2 4" xfId="18930"/>
    <cellStyle name="Total 3 2 3 2 2 4 2" xfId="18931"/>
    <cellStyle name="Total 3 2 3 2 2 5" xfId="18932"/>
    <cellStyle name="Total 3 2 3 2 2 5 2" xfId="18933"/>
    <cellStyle name="Total 3 2 3 2 3" xfId="18934"/>
    <cellStyle name="Total 3 2 3 2 3 2" xfId="18935"/>
    <cellStyle name="Total 3 2 3 2 3 2 2" xfId="18936"/>
    <cellStyle name="Total 3 2 3 2 3 3" xfId="18937"/>
    <cellStyle name="Total 3 2 3 2 3 3 2" xfId="18938"/>
    <cellStyle name="Total 3 2 3 2 3 4" xfId="18939"/>
    <cellStyle name="Total 3 2 3 2 3 4 2" xfId="18940"/>
    <cellStyle name="Total 3 2 3 2 3 5" xfId="18941"/>
    <cellStyle name="Total 3 2 3 2 3 5 2" xfId="18942"/>
    <cellStyle name="Total 3 2 3 2 4" xfId="18943"/>
    <cellStyle name="Total 3 2 3 2 4 2" xfId="18944"/>
    <cellStyle name="Total 3 2 3 2 5" xfId="18945"/>
    <cellStyle name="Total 3 2 3 2 5 2" xfId="18946"/>
    <cellStyle name="Total 3 2 3 2 6" xfId="18947"/>
    <cellStyle name="Total 3 2 3 2 6 2" xfId="18948"/>
    <cellStyle name="Total 3 2 3 2 7" xfId="18949"/>
    <cellStyle name="Total 3 2 3 2 7 2" xfId="18950"/>
    <cellStyle name="Total 3 2 3 3" xfId="18951"/>
    <cellStyle name="Total 3 2 3 3 2" xfId="18952"/>
    <cellStyle name="Total 3 2 3 3 2 2" xfId="18953"/>
    <cellStyle name="Total 3 2 3 3 3" xfId="18954"/>
    <cellStyle name="Total 3 2 3 3 3 2" xfId="18955"/>
    <cellStyle name="Total 3 2 3 3 4" xfId="18956"/>
    <cellStyle name="Total 3 2 3 3 4 2" xfId="18957"/>
    <cellStyle name="Total 3 2 3 3 5" xfId="18958"/>
    <cellStyle name="Total 3 2 3 3 5 2" xfId="18959"/>
    <cellStyle name="Total 3 2 3 4" xfId="18960"/>
    <cellStyle name="Total 3 2 3 4 2" xfId="18961"/>
    <cellStyle name="Total 3 2 3 4 2 2" xfId="18962"/>
    <cellStyle name="Total 3 2 3 4 3" xfId="18963"/>
    <cellStyle name="Total 3 2 3 4 3 2" xfId="18964"/>
    <cellStyle name="Total 3 2 3 4 4" xfId="18965"/>
    <cellStyle name="Total 3 2 3 4 4 2" xfId="18966"/>
    <cellStyle name="Total 3 2 3 4 5" xfId="18967"/>
    <cellStyle name="Total 3 2 3 4 5 2" xfId="18968"/>
    <cellStyle name="Total 3 2 3 5" xfId="18969"/>
    <cellStyle name="Total 3 2 3 5 2" xfId="18970"/>
    <cellStyle name="Total 3 2 3 6" xfId="18971"/>
    <cellStyle name="Total 3 2 3 6 2" xfId="18972"/>
    <cellStyle name="Total 3 2 3 7" xfId="18973"/>
    <cellStyle name="Total 3 2 3 7 2" xfId="18974"/>
    <cellStyle name="Total 3 2 3 8" xfId="18975"/>
    <cellStyle name="Total 3 2 3 8 2" xfId="18976"/>
    <cellStyle name="Total 3 2 4" xfId="2736"/>
    <cellStyle name="Total 3 2 4 2" xfId="2737"/>
    <cellStyle name="Total 3 2 4 2 2" xfId="18977"/>
    <cellStyle name="Total 3 2 4 2 2 2" xfId="18978"/>
    <cellStyle name="Total 3 2 4 2 2 2 2" xfId="18979"/>
    <cellStyle name="Total 3 2 4 2 2 3" xfId="18980"/>
    <cellStyle name="Total 3 2 4 2 2 3 2" xfId="18981"/>
    <cellStyle name="Total 3 2 4 2 2 4" xfId="18982"/>
    <cellStyle name="Total 3 2 4 2 2 4 2" xfId="18983"/>
    <cellStyle name="Total 3 2 4 2 2 5" xfId="18984"/>
    <cellStyle name="Total 3 2 4 2 2 5 2" xfId="18985"/>
    <cellStyle name="Total 3 2 4 2 3" xfId="18986"/>
    <cellStyle name="Total 3 2 4 2 3 2" xfId="18987"/>
    <cellStyle name="Total 3 2 4 2 3 2 2" xfId="18988"/>
    <cellStyle name="Total 3 2 4 2 3 3" xfId="18989"/>
    <cellStyle name="Total 3 2 4 2 3 3 2" xfId="18990"/>
    <cellStyle name="Total 3 2 4 2 3 4" xfId="18991"/>
    <cellStyle name="Total 3 2 4 2 3 4 2" xfId="18992"/>
    <cellStyle name="Total 3 2 4 2 3 5" xfId="18993"/>
    <cellStyle name="Total 3 2 4 2 3 5 2" xfId="18994"/>
    <cellStyle name="Total 3 2 4 2 4" xfId="18995"/>
    <cellStyle name="Total 3 2 4 2 4 2" xfId="18996"/>
    <cellStyle name="Total 3 2 4 2 5" xfId="18997"/>
    <cellStyle name="Total 3 2 4 2 5 2" xfId="18998"/>
    <cellStyle name="Total 3 2 4 2 6" xfId="18999"/>
    <cellStyle name="Total 3 2 4 2 6 2" xfId="19000"/>
    <cellStyle name="Total 3 2 4 2 7" xfId="19001"/>
    <cellStyle name="Total 3 2 4 2 7 2" xfId="19002"/>
    <cellStyle name="Total 3 2 4 3" xfId="19003"/>
    <cellStyle name="Total 3 2 4 3 2" xfId="19004"/>
    <cellStyle name="Total 3 2 4 3 2 2" xfId="19005"/>
    <cellStyle name="Total 3 2 4 3 3" xfId="19006"/>
    <cellStyle name="Total 3 2 4 3 3 2" xfId="19007"/>
    <cellStyle name="Total 3 2 4 3 4" xfId="19008"/>
    <cellStyle name="Total 3 2 4 3 4 2" xfId="19009"/>
    <cellStyle name="Total 3 2 4 3 5" xfId="19010"/>
    <cellStyle name="Total 3 2 4 3 5 2" xfId="19011"/>
    <cellStyle name="Total 3 2 4 4" xfId="19012"/>
    <cellStyle name="Total 3 2 4 4 2" xfId="19013"/>
    <cellStyle name="Total 3 2 4 4 2 2" xfId="19014"/>
    <cellStyle name="Total 3 2 4 4 3" xfId="19015"/>
    <cellStyle name="Total 3 2 4 4 3 2" xfId="19016"/>
    <cellStyle name="Total 3 2 4 4 4" xfId="19017"/>
    <cellStyle name="Total 3 2 4 4 4 2" xfId="19018"/>
    <cellStyle name="Total 3 2 4 4 5" xfId="19019"/>
    <cellStyle name="Total 3 2 4 4 5 2" xfId="19020"/>
    <cellStyle name="Total 3 2 4 5" xfId="19021"/>
    <cellStyle name="Total 3 2 4 5 2" xfId="19022"/>
    <cellStyle name="Total 3 2 4 6" xfId="19023"/>
    <cellStyle name="Total 3 2 4 6 2" xfId="19024"/>
    <cellStyle name="Total 3 2 4 7" xfId="19025"/>
    <cellStyle name="Total 3 2 4 7 2" xfId="19026"/>
    <cellStyle name="Total 3 2 4 8" xfId="19027"/>
    <cellStyle name="Total 3 2 4 8 2" xfId="19028"/>
    <cellStyle name="Total 3 2 5" xfId="2738"/>
    <cellStyle name="Total 3 2 5 2" xfId="2739"/>
    <cellStyle name="Total 3 2 5 2 2" xfId="19029"/>
    <cellStyle name="Total 3 2 5 2 2 2" xfId="19030"/>
    <cellStyle name="Total 3 2 5 2 2 2 2" xfId="19031"/>
    <cellStyle name="Total 3 2 5 2 2 3" xfId="19032"/>
    <cellStyle name="Total 3 2 5 2 2 3 2" xfId="19033"/>
    <cellStyle name="Total 3 2 5 2 2 4" xfId="19034"/>
    <cellStyle name="Total 3 2 5 2 2 4 2" xfId="19035"/>
    <cellStyle name="Total 3 2 5 2 2 5" xfId="19036"/>
    <cellStyle name="Total 3 2 5 2 2 5 2" xfId="19037"/>
    <cellStyle name="Total 3 2 5 2 3" xfId="19038"/>
    <cellStyle name="Total 3 2 5 2 3 2" xfId="19039"/>
    <cellStyle name="Total 3 2 5 2 3 2 2" xfId="19040"/>
    <cellStyle name="Total 3 2 5 2 3 3" xfId="19041"/>
    <cellStyle name="Total 3 2 5 2 3 3 2" xfId="19042"/>
    <cellStyle name="Total 3 2 5 2 3 4" xfId="19043"/>
    <cellStyle name="Total 3 2 5 2 3 4 2" xfId="19044"/>
    <cellStyle name="Total 3 2 5 2 3 5" xfId="19045"/>
    <cellStyle name="Total 3 2 5 2 3 5 2" xfId="19046"/>
    <cellStyle name="Total 3 2 5 2 4" xfId="19047"/>
    <cellStyle name="Total 3 2 5 2 4 2" xfId="19048"/>
    <cellStyle name="Total 3 2 5 2 5" xfId="19049"/>
    <cellStyle name="Total 3 2 5 2 5 2" xfId="19050"/>
    <cellStyle name="Total 3 2 5 2 6" xfId="19051"/>
    <cellStyle name="Total 3 2 5 2 6 2" xfId="19052"/>
    <cellStyle name="Total 3 2 5 2 7" xfId="19053"/>
    <cellStyle name="Total 3 2 5 2 7 2" xfId="19054"/>
    <cellStyle name="Total 3 2 5 3" xfId="19055"/>
    <cellStyle name="Total 3 2 5 3 2" xfId="19056"/>
    <cellStyle name="Total 3 2 5 3 2 2" xfId="19057"/>
    <cellStyle name="Total 3 2 5 3 3" xfId="19058"/>
    <cellStyle name="Total 3 2 5 3 3 2" xfId="19059"/>
    <cellStyle name="Total 3 2 5 3 4" xfId="19060"/>
    <cellStyle name="Total 3 2 5 3 4 2" xfId="19061"/>
    <cellStyle name="Total 3 2 5 3 5" xfId="19062"/>
    <cellStyle name="Total 3 2 5 3 5 2" xfId="19063"/>
    <cellStyle name="Total 3 2 5 4" xfId="19064"/>
    <cellStyle name="Total 3 2 5 4 2" xfId="19065"/>
    <cellStyle name="Total 3 2 5 4 2 2" xfId="19066"/>
    <cellStyle name="Total 3 2 5 4 3" xfId="19067"/>
    <cellStyle name="Total 3 2 5 4 3 2" xfId="19068"/>
    <cellStyle name="Total 3 2 5 4 4" xfId="19069"/>
    <cellStyle name="Total 3 2 5 4 4 2" xfId="19070"/>
    <cellStyle name="Total 3 2 5 4 5" xfId="19071"/>
    <cellStyle name="Total 3 2 5 4 5 2" xfId="19072"/>
    <cellStyle name="Total 3 2 5 5" xfId="19073"/>
    <cellStyle name="Total 3 2 5 5 2" xfId="19074"/>
    <cellStyle name="Total 3 2 5 6" xfId="19075"/>
    <cellStyle name="Total 3 2 5 6 2" xfId="19076"/>
    <cellStyle name="Total 3 2 5 7" xfId="19077"/>
    <cellStyle name="Total 3 2 5 7 2" xfId="19078"/>
    <cellStyle name="Total 3 2 5 8" xfId="19079"/>
    <cellStyle name="Total 3 2 5 8 2" xfId="19080"/>
    <cellStyle name="Total 3 2 6" xfId="2740"/>
    <cellStyle name="Total 3 2 6 2" xfId="19081"/>
    <cellStyle name="Total 3 2 6 2 2" xfId="19082"/>
    <cellStyle name="Total 3 2 6 2 2 2" xfId="19083"/>
    <cellStyle name="Total 3 2 6 2 3" xfId="19084"/>
    <cellStyle name="Total 3 2 6 2 3 2" xfId="19085"/>
    <cellStyle name="Total 3 2 6 2 4" xfId="19086"/>
    <cellStyle name="Total 3 2 6 2 4 2" xfId="19087"/>
    <cellStyle name="Total 3 2 6 2 5" xfId="19088"/>
    <cellStyle name="Total 3 2 6 2 5 2" xfId="19089"/>
    <cellStyle name="Total 3 2 6 3" xfId="19090"/>
    <cellStyle name="Total 3 2 6 3 2" xfId="19091"/>
    <cellStyle name="Total 3 2 6 3 2 2" xfId="19092"/>
    <cellStyle name="Total 3 2 6 3 3" xfId="19093"/>
    <cellStyle name="Total 3 2 6 3 3 2" xfId="19094"/>
    <cellStyle name="Total 3 2 6 3 4" xfId="19095"/>
    <cellStyle name="Total 3 2 6 3 4 2" xfId="19096"/>
    <cellStyle name="Total 3 2 6 3 5" xfId="19097"/>
    <cellStyle name="Total 3 2 6 3 5 2" xfId="19098"/>
    <cellStyle name="Total 3 2 6 4" xfId="19099"/>
    <cellStyle name="Total 3 2 6 4 2" xfId="19100"/>
    <cellStyle name="Total 3 2 6 5" xfId="19101"/>
    <cellStyle name="Total 3 2 6 5 2" xfId="19102"/>
    <cellStyle name="Total 3 2 6 6" xfId="19103"/>
    <cellStyle name="Total 3 2 6 6 2" xfId="19104"/>
    <cellStyle name="Total 3 2 6 7" xfId="19105"/>
    <cellStyle name="Total 3 2 6 7 2" xfId="19106"/>
    <cellStyle name="Total 3 2 7" xfId="19107"/>
    <cellStyle name="Total 3 2 7 2" xfId="19108"/>
    <cellStyle name="Total 3 2 7 2 2" xfId="19109"/>
    <cellStyle name="Total 3 2 7 3" xfId="19110"/>
    <cellStyle name="Total 3 2 7 3 2" xfId="19111"/>
    <cellStyle name="Total 3 2 7 4" xfId="19112"/>
    <cellStyle name="Total 3 2 7 4 2" xfId="19113"/>
    <cellStyle name="Total 3 2 7 5" xfId="19114"/>
    <cellStyle name="Total 3 2 7 5 2" xfId="19115"/>
    <cellStyle name="Total 3 2 8" xfId="19116"/>
    <cellStyle name="Total 3 2 8 2" xfId="19117"/>
    <cellStyle name="Total 3 2 8 2 2" xfId="19118"/>
    <cellStyle name="Total 3 2 8 3" xfId="19119"/>
    <cellStyle name="Total 3 2 8 3 2" xfId="19120"/>
    <cellStyle name="Total 3 2 8 4" xfId="19121"/>
    <cellStyle name="Total 3 2 8 4 2" xfId="19122"/>
    <cellStyle name="Total 3 2 8 5" xfId="19123"/>
    <cellStyle name="Total 3 2 8 5 2" xfId="19124"/>
    <cellStyle name="Total 3 2 9" xfId="19125"/>
    <cellStyle name="Total 3 2 9 2" xfId="19126"/>
    <cellStyle name="Total 3 3" xfId="2741"/>
    <cellStyle name="Total 3 3 2" xfId="2742"/>
    <cellStyle name="Total 3 3 2 2" xfId="19127"/>
    <cellStyle name="Total 3 3 2 2 2" xfId="19128"/>
    <cellStyle name="Total 3 3 2 2 2 2" xfId="19129"/>
    <cellStyle name="Total 3 3 2 2 3" xfId="19130"/>
    <cellStyle name="Total 3 3 2 2 3 2" xfId="19131"/>
    <cellStyle name="Total 3 3 2 2 4" xfId="19132"/>
    <cellStyle name="Total 3 3 2 2 4 2" xfId="19133"/>
    <cellStyle name="Total 3 3 2 2 5" xfId="19134"/>
    <cellStyle name="Total 3 3 2 2 5 2" xfId="19135"/>
    <cellStyle name="Total 3 3 2 3" xfId="19136"/>
    <cellStyle name="Total 3 3 2 3 2" xfId="19137"/>
    <cellStyle name="Total 3 3 2 3 2 2" xfId="19138"/>
    <cellStyle name="Total 3 3 2 3 3" xfId="19139"/>
    <cellStyle name="Total 3 3 2 3 3 2" xfId="19140"/>
    <cellStyle name="Total 3 3 2 3 4" xfId="19141"/>
    <cellStyle name="Total 3 3 2 3 4 2" xfId="19142"/>
    <cellStyle name="Total 3 3 2 3 5" xfId="19143"/>
    <cellStyle name="Total 3 3 2 3 5 2" xfId="19144"/>
    <cellStyle name="Total 3 3 2 4" xfId="19145"/>
    <cellStyle name="Total 3 3 2 4 2" xfId="19146"/>
    <cellStyle name="Total 3 3 2 5" xfId="19147"/>
    <cellStyle name="Total 3 3 2 5 2" xfId="19148"/>
    <cellStyle name="Total 3 3 2 6" xfId="19149"/>
    <cellStyle name="Total 3 3 2 6 2" xfId="19150"/>
    <cellStyle name="Total 3 3 2 7" xfId="19151"/>
    <cellStyle name="Total 3 3 2 7 2" xfId="19152"/>
    <cellStyle name="Total 3 3 3" xfId="19153"/>
    <cellStyle name="Total 3 3 3 2" xfId="19154"/>
    <cellStyle name="Total 3 3 3 2 2" xfId="19155"/>
    <cellStyle name="Total 3 3 3 3" xfId="19156"/>
    <cellStyle name="Total 3 3 3 3 2" xfId="19157"/>
    <cellStyle name="Total 3 3 3 4" xfId="19158"/>
    <cellStyle name="Total 3 3 3 4 2" xfId="19159"/>
    <cellStyle name="Total 3 3 3 5" xfId="19160"/>
    <cellStyle name="Total 3 3 3 5 2" xfId="19161"/>
    <cellStyle name="Total 3 3 4" xfId="19162"/>
    <cellStyle name="Total 3 3 4 2" xfId="19163"/>
    <cellStyle name="Total 3 3 4 2 2" xfId="19164"/>
    <cellStyle name="Total 3 3 4 3" xfId="19165"/>
    <cellStyle name="Total 3 3 4 3 2" xfId="19166"/>
    <cellStyle name="Total 3 3 4 4" xfId="19167"/>
    <cellStyle name="Total 3 3 4 4 2" xfId="19168"/>
    <cellStyle name="Total 3 3 4 5" xfId="19169"/>
    <cellStyle name="Total 3 3 4 5 2" xfId="19170"/>
    <cellStyle name="Total 3 3 5" xfId="19171"/>
    <cellStyle name="Total 3 3 5 2" xfId="19172"/>
    <cellStyle name="Total 3 3 6" xfId="19173"/>
    <cellStyle name="Total 3 3 6 2" xfId="19174"/>
    <cellStyle name="Total 3 3 7" xfId="19175"/>
    <cellStyle name="Total 3 3 7 2" xfId="19176"/>
    <cellStyle name="Total 3 3 8" xfId="19177"/>
    <cellStyle name="Total 3 3 8 2" xfId="19178"/>
    <cellStyle name="Total 3 4" xfId="2743"/>
    <cellStyle name="Total 3 4 2" xfId="2744"/>
    <cellStyle name="Total 3 4 2 2" xfId="19179"/>
    <cellStyle name="Total 3 4 2 2 2" xfId="19180"/>
    <cellStyle name="Total 3 4 2 2 2 2" xfId="19181"/>
    <cellStyle name="Total 3 4 2 2 3" xfId="19182"/>
    <cellStyle name="Total 3 4 2 2 3 2" xfId="19183"/>
    <cellStyle name="Total 3 4 2 2 4" xfId="19184"/>
    <cellStyle name="Total 3 4 2 2 4 2" xfId="19185"/>
    <cellStyle name="Total 3 4 2 2 5" xfId="19186"/>
    <cellStyle name="Total 3 4 2 2 5 2" xfId="19187"/>
    <cellStyle name="Total 3 4 2 3" xfId="19188"/>
    <cellStyle name="Total 3 4 2 3 2" xfId="19189"/>
    <cellStyle name="Total 3 4 2 3 2 2" xfId="19190"/>
    <cellStyle name="Total 3 4 2 3 3" xfId="19191"/>
    <cellStyle name="Total 3 4 2 3 3 2" xfId="19192"/>
    <cellStyle name="Total 3 4 2 3 4" xfId="19193"/>
    <cellStyle name="Total 3 4 2 3 4 2" xfId="19194"/>
    <cellStyle name="Total 3 4 2 3 5" xfId="19195"/>
    <cellStyle name="Total 3 4 2 3 5 2" xfId="19196"/>
    <cellStyle name="Total 3 4 2 4" xfId="19197"/>
    <cellStyle name="Total 3 4 2 4 2" xfId="19198"/>
    <cellStyle name="Total 3 4 2 5" xfId="19199"/>
    <cellStyle name="Total 3 4 2 5 2" xfId="19200"/>
    <cellStyle name="Total 3 4 2 6" xfId="19201"/>
    <cellStyle name="Total 3 4 2 6 2" xfId="19202"/>
    <cellStyle name="Total 3 4 2 7" xfId="19203"/>
    <cellStyle name="Total 3 4 2 7 2" xfId="19204"/>
    <cellStyle name="Total 3 4 3" xfId="19205"/>
    <cellStyle name="Total 3 4 3 2" xfId="19206"/>
    <cellStyle name="Total 3 4 3 2 2" xfId="19207"/>
    <cellStyle name="Total 3 4 3 3" xfId="19208"/>
    <cellStyle name="Total 3 4 3 3 2" xfId="19209"/>
    <cellStyle name="Total 3 4 3 4" xfId="19210"/>
    <cellStyle name="Total 3 4 3 4 2" xfId="19211"/>
    <cellStyle name="Total 3 4 3 5" xfId="19212"/>
    <cellStyle name="Total 3 4 3 5 2" xfId="19213"/>
    <cellStyle name="Total 3 4 4" xfId="19214"/>
    <cellStyle name="Total 3 4 4 2" xfId="19215"/>
    <cellStyle name="Total 3 4 4 2 2" xfId="19216"/>
    <cellStyle name="Total 3 4 4 3" xfId="19217"/>
    <cellStyle name="Total 3 4 4 3 2" xfId="19218"/>
    <cellStyle name="Total 3 4 4 4" xfId="19219"/>
    <cellStyle name="Total 3 4 4 4 2" xfId="19220"/>
    <cellStyle name="Total 3 4 4 5" xfId="19221"/>
    <cellStyle name="Total 3 4 4 5 2" xfId="19222"/>
    <cellStyle name="Total 3 4 5" xfId="19223"/>
    <cellStyle name="Total 3 4 5 2" xfId="19224"/>
    <cellStyle name="Total 3 4 6" xfId="19225"/>
    <cellStyle name="Total 3 4 6 2" xfId="19226"/>
    <cellStyle name="Total 3 4 7" xfId="19227"/>
    <cellStyle name="Total 3 4 7 2" xfId="19228"/>
    <cellStyle name="Total 3 4 8" xfId="19229"/>
    <cellStyle name="Total 3 4 8 2" xfId="19230"/>
    <cellStyle name="Total 3 5" xfId="2745"/>
    <cellStyle name="Total 3 5 2" xfId="2746"/>
    <cellStyle name="Total 3 5 2 2" xfId="19231"/>
    <cellStyle name="Total 3 5 2 2 2" xfId="19232"/>
    <cellStyle name="Total 3 5 2 2 2 2" xfId="19233"/>
    <cellStyle name="Total 3 5 2 2 3" xfId="19234"/>
    <cellStyle name="Total 3 5 2 2 3 2" xfId="19235"/>
    <cellStyle name="Total 3 5 2 2 4" xfId="19236"/>
    <cellStyle name="Total 3 5 2 2 4 2" xfId="19237"/>
    <cellStyle name="Total 3 5 2 2 5" xfId="19238"/>
    <cellStyle name="Total 3 5 2 2 5 2" xfId="19239"/>
    <cellStyle name="Total 3 5 2 3" xfId="19240"/>
    <cellStyle name="Total 3 5 2 3 2" xfId="19241"/>
    <cellStyle name="Total 3 5 2 3 2 2" xfId="19242"/>
    <cellStyle name="Total 3 5 2 3 3" xfId="19243"/>
    <cellStyle name="Total 3 5 2 3 3 2" xfId="19244"/>
    <cellStyle name="Total 3 5 2 3 4" xfId="19245"/>
    <cellStyle name="Total 3 5 2 3 4 2" xfId="19246"/>
    <cellStyle name="Total 3 5 2 3 5" xfId="19247"/>
    <cellStyle name="Total 3 5 2 3 5 2" xfId="19248"/>
    <cellStyle name="Total 3 5 2 4" xfId="19249"/>
    <cellStyle name="Total 3 5 2 4 2" xfId="19250"/>
    <cellStyle name="Total 3 5 2 5" xfId="19251"/>
    <cellStyle name="Total 3 5 2 5 2" xfId="19252"/>
    <cellStyle name="Total 3 5 2 6" xfId="19253"/>
    <cellStyle name="Total 3 5 2 6 2" xfId="19254"/>
    <cellStyle name="Total 3 5 2 7" xfId="19255"/>
    <cellStyle name="Total 3 5 2 7 2" xfId="19256"/>
    <cellStyle name="Total 3 5 3" xfId="19257"/>
    <cellStyle name="Total 3 5 3 2" xfId="19258"/>
    <cellStyle name="Total 3 5 3 2 2" xfId="19259"/>
    <cellStyle name="Total 3 5 3 3" xfId="19260"/>
    <cellStyle name="Total 3 5 3 3 2" xfId="19261"/>
    <cellStyle name="Total 3 5 3 4" xfId="19262"/>
    <cellStyle name="Total 3 5 3 4 2" xfId="19263"/>
    <cellStyle name="Total 3 5 3 5" xfId="19264"/>
    <cellStyle name="Total 3 5 3 5 2" xfId="19265"/>
    <cellStyle name="Total 3 5 4" xfId="19266"/>
    <cellStyle name="Total 3 5 4 2" xfId="19267"/>
    <cellStyle name="Total 3 5 4 2 2" xfId="19268"/>
    <cellStyle name="Total 3 5 4 3" xfId="19269"/>
    <cellStyle name="Total 3 5 4 3 2" xfId="19270"/>
    <cellStyle name="Total 3 5 4 4" xfId="19271"/>
    <cellStyle name="Total 3 5 4 4 2" xfId="19272"/>
    <cellStyle name="Total 3 5 4 5" xfId="19273"/>
    <cellStyle name="Total 3 5 4 5 2" xfId="19274"/>
    <cellStyle name="Total 3 5 5" xfId="19275"/>
    <cellStyle name="Total 3 5 5 2" xfId="19276"/>
    <cellStyle name="Total 3 5 6" xfId="19277"/>
    <cellStyle name="Total 3 5 6 2" xfId="19278"/>
    <cellStyle name="Total 3 5 7" xfId="19279"/>
    <cellStyle name="Total 3 5 7 2" xfId="19280"/>
    <cellStyle name="Total 3 5 8" xfId="19281"/>
    <cellStyle name="Total 3 5 8 2" xfId="19282"/>
    <cellStyle name="Total 3 6" xfId="2747"/>
    <cellStyle name="Total 3 6 2" xfId="2748"/>
    <cellStyle name="Total 3 6 2 2" xfId="19283"/>
    <cellStyle name="Total 3 6 2 2 2" xfId="19284"/>
    <cellStyle name="Total 3 6 2 2 2 2" xfId="19285"/>
    <cellStyle name="Total 3 6 2 2 3" xfId="19286"/>
    <cellStyle name="Total 3 6 2 2 3 2" xfId="19287"/>
    <cellStyle name="Total 3 6 2 2 4" xfId="19288"/>
    <cellStyle name="Total 3 6 2 2 4 2" xfId="19289"/>
    <cellStyle name="Total 3 6 2 2 5" xfId="19290"/>
    <cellStyle name="Total 3 6 2 2 5 2" xfId="19291"/>
    <cellStyle name="Total 3 6 2 3" xfId="19292"/>
    <cellStyle name="Total 3 6 2 3 2" xfId="19293"/>
    <cellStyle name="Total 3 6 2 3 2 2" xfId="19294"/>
    <cellStyle name="Total 3 6 2 3 3" xfId="19295"/>
    <cellStyle name="Total 3 6 2 3 3 2" xfId="19296"/>
    <cellStyle name="Total 3 6 2 3 4" xfId="19297"/>
    <cellStyle name="Total 3 6 2 3 4 2" xfId="19298"/>
    <cellStyle name="Total 3 6 2 3 5" xfId="19299"/>
    <cellStyle name="Total 3 6 2 3 5 2" xfId="19300"/>
    <cellStyle name="Total 3 6 2 4" xfId="19301"/>
    <cellStyle name="Total 3 6 2 4 2" xfId="19302"/>
    <cellStyle name="Total 3 6 2 5" xfId="19303"/>
    <cellStyle name="Total 3 6 2 5 2" xfId="19304"/>
    <cellStyle name="Total 3 6 2 6" xfId="19305"/>
    <cellStyle name="Total 3 6 2 6 2" xfId="19306"/>
    <cellStyle name="Total 3 6 2 7" xfId="19307"/>
    <cellStyle name="Total 3 6 2 7 2" xfId="19308"/>
    <cellStyle name="Total 3 6 3" xfId="19309"/>
    <cellStyle name="Total 3 6 3 2" xfId="19310"/>
    <cellStyle name="Total 3 6 3 2 2" xfId="19311"/>
    <cellStyle name="Total 3 6 3 3" xfId="19312"/>
    <cellStyle name="Total 3 6 3 3 2" xfId="19313"/>
    <cellStyle name="Total 3 6 3 4" xfId="19314"/>
    <cellStyle name="Total 3 6 3 4 2" xfId="19315"/>
    <cellStyle name="Total 3 6 3 5" xfId="19316"/>
    <cellStyle name="Total 3 6 3 5 2" xfId="19317"/>
    <cellStyle name="Total 3 6 4" xfId="19318"/>
    <cellStyle name="Total 3 6 4 2" xfId="19319"/>
    <cellStyle name="Total 3 6 4 2 2" xfId="19320"/>
    <cellStyle name="Total 3 6 4 3" xfId="19321"/>
    <cellStyle name="Total 3 6 4 3 2" xfId="19322"/>
    <cellStyle name="Total 3 6 4 4" xfId="19323"/>
    <cellStyle name="Total 3 6 4 4 2" xfId="19324"/>
    <cellStyle name="Total 3 6 4 5" xfId="19325"/>
    <cellStyle name="Total 3 6 4 5 2" xfId="19326"/>
    <cellStyle name="Total 3 6 5" xfId="19327"/>
    <cellStyle name="Total 3 6 5 2" xfId="19328"/>
    <cellStyle name="Total 3 6 6" xfId="19329"/>
    <cellStyle name="Total 3 6 6 2" xfId="19330"/>
    <cellStyle name="Total 3 6 7" xfId="19331"/>
    <cellStyle name="Total 3 6 7 2" xfId="19332"/>
    <cellStyle name="Total 3 6 8" xfId="19333"/>
    <cellStyle name="Total 3 6 8 2" xfId="19334"/>
    <cellStyle name="Total 3 7" xfId="2749"/>
    <cellStyle name="Total 3 7 2" xfId="19335"/>
    <cellStyle name="Total 3 7 2 2" xfId="19336"/>
    <cellStyle name="Total 3 7 2 2 2" xfId="19337"/>
    <cellStyle name="Total 3 7 2 3" xfId="19338"/>
    <cellStyle name="Total 3 7 2 3 2" xfId="19339"/>
    <cellStyle name="Total 3 7 2 4" xfId="19340"/>
    <cellStyle name="Total 3 7 2 4 2" xfId="19341"/>
    <cellStyle name="Total 3 7 2 5" xfId="19342"/>
    <cellStyle name="Total 3 7 2 5 2" xfId="19343"/>
    <cellStyle name="Total 3 7 3" xfId="19344"/>
    <cellStyle name="Total 3 7 3 2" xfId="19345"/>
    <cellStyle name="Total 3 7 3 2 2" xfId="19346"/>
    <cellStyle name="Total 3 7 3 3" xfId="19347"/>
    <cellStyle name="Total 3 7 3 3 2" xfId="19348"/>
    <cellStyle name="Total 3 7 3 4" xfId="19349"/>
    <cellStyle name="Total 3 7 3 4 2" xfId="19350"/>
    <cellStyle name="Total 3 7 3 5" xfId="19351"/>
    <cellStyle name="Total 3 7 3 5 2" xfId="19352"/>
    <cellStyle name="Total 3 7 4" xfId="19353"/>
    <cellStyle name="Total 3 7 4 2" xfId="19354"/>
    <cellStyle name="Total 3 7 5" xfId="19355"/>
    <cellStyle name="Total 3 7 5 2" xfId="19356"/>
    <cellStyle name="Total 3 7 6" xfId="19357"/>
    <cellStyle name="Total 3 7 6 2" xfId="19358"/>
    <cellStyle name="Total 3 7 7" xfId="19359"/>
    <cellStyle name="Total 3 7 7 2" xfId="19360"/>
    <cellStyle name="Total 3 8" xfId="19361"/>
    <cellStyle name="Total 3 8 2" xfId="19362"/>
    <cellStyle name="Total 3 8 2 2" xfId="19363"/>
    <cellStyle name="Total 3 8 3" xfId="19364"/>
    <cellStyle name="Total 3 8 3 2" xfId="19365"/>
    <cellStyle name="Total 3 8 4" xfId="19366"/>
    <cellStyle name="Total 3 8 4 2" xfId="19367"/>
    <cellStyle name="Total 3 8 5" xfId="19368"/>
    <cellStyle name="Total 3 8 5 2" xfId="19369"/>
    <cellStyle name="Total 3 9" xfId="19370"/>
    <cellStyle name="Total 3 9 2" xfId="19371"/>
    <cellStyle name="Total 3 9 2 2" xfId="19372"/>
    <cellStyle name="Total 3 9 3" xfId="19373"/>
    <cellStyle name="Total 3 9 3 2" xfId="19374"/>
    <cellStyle name="Total 3 9 4" xfId="19375"/>
    <cellStyle name="Total 3 9 4 2" xfId="19376"/>
    <cellStyle name="Total 3 9 5" xfId="19377"/>
    <cellStyle name="Total 3 9 5 2" xfId="19378"/>
    <cellStyle name="Total 4" xfId="1993"/>
    <cellStyle name="Total 4 10" xfId="19379"/>
    <cellStyle name="Total 4 10 2" xfId="19380"/>
    <cellStyle name="Total 4 11" xfId="19381"/>
    <cellStyle name="Total 4 11 2" xfId="19382"/>
    <cellStyle name="Total 4 12" xfId="19383"/>
    <cellStyle name="Total 4 12 2" xfId="19384"/>
    <cellStyle name="Total 4 13" xfId="19385"/>
    <cellStyle name="Total 4 13 2" xfId="19386"/>
    <cellStyle name="Total 4 2" xfId="2750"/>
    <cellStyle name="Total 4 2 10" xfId="19387"/>
    <cellStyle name="Total 4 2 10 2" xfId="19388"/>
    <cellStyle name="Total 4 2 11" xfId="19389"/>
    <cellStyle name="Total 4 2 11 2" xfId="19390"/>
    <cellStyle name="Total 4 2 12" xfId="19391"/>
    <cellStyle name="Total 4 2 12 2" xfId="19392"/>
    <cellStyle name="Total 4 2 2" xfId="2751"/>
    <cellStyle name="Total 4 2 2 2" xfId="2752"/>
    <cellStyle name="Total 4 2 2 2 2" xfId="19393"/>
    <cellStyle name="Total 4 2 2 2 2 2" xfId="19394"/>
    <cellStyle name="Total 4 2 2 2 2 2 2" xfId="19395"/>
    <cellStyle name="Total 4 2 2 2 2 3" xfId="19396"/>
    <cellStyle name="Total 4 2 2 2 2 3 2" xfId="19397"/>
    <cellStyle name="Total 4 2 2 2 2 4" xfId="19398"/>
    <cellStyle name="Total 4 2 2 2 2 4 2" xfId="19399"/>
    <cellStyle name="Total 4 2 2 2 2 5" xfId="19400"/>
    <cellStyle name="Total 4 2 2 2 2 5 2" xfId="19401"/>
    <cellStyle name="Total 4 2 2 2 3" xfId="19402"/>
    <cellStyle name="Total 4 2 2 2 3 2" xfId="19403"/>
    <cellStyle name="Total 4 2 2 2 3 2 2" xfId="19404"/>
    <cellStyle name="Total 4 2 2 2 3 3" xfId="19405"/>
    <cellStyle name="Total 4 2 2 2 3 3 2" xfId="19406"/>
    <cellStyle name="Total 4 2 2 2 3 4" xfId="19407"/>
    <cellStyle name="Total 4 2 2 2 3 4 2" xfId="19408"/>
    <cellStyle name="Total 4 2 2 2 3 5" xfId="19409"/>
    <cellStyle name="Total 4 2 2 2 3 5 2" xfId="19410"/>
    <cellStyle name="Total 4 2 2 2 4" xfId="19411"/>
    <cellStyle name="Total 4 2 2 2 4 2" xfId="19412"/>
    <cellStyle name="Total 4 2 2 2 5" xfId="19413"/>
    <cellStyle name="Total 4 2 2 2 5 2" xfId="19414"/>
    <cellStyle name="Total 4 2 2 2 6" xfId="19415"/>
    <cellStyle name="Total 4 2 2 2 6 2" xfId="19416"/>
    <cellStyle name="Total 4 2 2 2 7" xfId="19417"/>
    <cellStyle name="Total 4 2 2 2 7 2" xfId="19418"/>
    <cellStyle name="Total 4 2 2 3" xfId="19419"/>
    <cellStyle name="Total 4 2 2 3 2" xfId="19420"/>
    <cellStyle name="Total 4 2 2 3 2 2" xfId="19421"/>
    <cellStyle name="Total 4 2 2 3 3" xfId="19422"/>
    <cellStyle name="Total 4 2 2 3 3 2" xfId="19423"/>
    <cellStyle name="Total 4 2 2 3 4" xfId="19424"/>
    <cellStyle name="Total 4 2 2 3 4 2" xfId="19425"/>
    <cellStyle name="Total 4 2 2 3 5" xfId="19426"/>
    <cellStyle name="Total 4 2 2 3 5 2" xfId="19427"/>
    <cellStyle name="Total 4 2 2 4" xfId="19428"/>
    <cellStyle name="Total 4 2 2 4 2" xfId="19429"/>
    <cellStyle name="Total 4 2 2 4 2 2" xfId="19430"/>
    <cellStyle name="Total 4 2 2 4 3" xfId="19431"/>
    <cellStyle name="Total 4 2 2 4 3 2" xfId="19432"/>
    <cellStyle name="Total 4 2 2 4 4" xfId="19433"/>
    <cellStyle name="Total 4 2 2 4 4 2" xfId="19434"/>
    <cellStyle name="Total 4 2 2 4 5" xfId="19435"/>
    <cellStyle name="Total 4 2 2 4 5 2" xfId="19436"/>
    <cellStyle name="Total 4 2 2 5" xfId="19437"/>
    <cellStyle name="Total 4 2 2 5 2" xfId="19438"/>
    <cellStyle name="Total 4 2 2 6" xfId="19439"/>
    <cellStyle name="Total 4 2 2 6 2" xfId="19440"/>
    <cellStyle name="Total 4 2 2 7" xfId="19441"/>
    <cellStyle name="Total 4 2 2 7 2" xfId="19442"/>
    <cellStyle name="Total 4 2 2 8" xfId="19443"/>
    <cellStyle name="Total 4 2 2 8 2" xfId="19444"/>
    <cellStyle name="Total 4 2 3" xfId="2753"/>
    <cellStyle name="Total 4 2 3 2" xfId="2754"/>
    <cellStyle name="Total 4 2 3 2 2" xfId="19445"/>
    <cellStyle name="Total 4 2 3 2 2 2" xfId="19446"/>
    <cellStyle name="Total 4 2 3 2 2 2 2" xfId="19447"/>
    <cellStyle name="Total 4 2 3 2 2 3" xfId="19448"/>
    <cellStyle name="Total 4 2 3 2 2 3 2" xfId="19449"/>
    <cellStyle name="Total 4 2 3 2 2 4" xfId="19450"/>
    <cellStyle name="Total 4 2 3 2 2 4 2" xfId="19451"/>
    <cellStyle name="Total 4 2 3 2 2 5" xfId="19452"/>
    <cellStyle name="Total 4 2 3 2 2 5 2" xfId="19453"/>
    <cellStyle name="Total 4 2 3 2 3" xfId="19454"/>
    <cellStyle name="Total 4 2 3 2 3 2" xfId="19455"/>
    <cellStyle name="Total 4 2 3 2 3 2 2" xfId="19456"/>
    <cellStyle name="Total 4 2 3 2 3 3" xfId="19457"/>
    <cellStyle name="Total 4 2 3 2 3 3 2" xfId="19458"/>
    <cellStyle name="Total 4 2 3 2 3 4" xfId="19459"/>
    <cellStyle name="Total 4 2 3 2 3 4 2" xfId="19460"/>
    <cellStyle name="Total 4 2 3 2 3 5" xfId="19461"/>
    <cellStyle name="Total 4 2 3 2 3 5 2" xfId="19462"/>
    <cellStyle name="Total 4 2 3 2 4" xfId="19463"/>
    <cellStyle name="Total 4 2 3 2 4 2" xfId="19464"/>
    <cellStyle name="Total 4 2 3 2 5" xfId="19465"/>
    <cellStyle name="Total 4 2 3 2 5 2" xfId="19466"/>
    <cellStyle name="Total 4 2 3 2 6" xfId="19467"/>
    <cellStyle name="Total 4 2 3 2 6 2" xfId="19468"/>
    <cellStyle name="Total 4 2 3 2 7" xfId="19469"/>
    <cellStyle name="Total 4 2 3 2 7 2" xfId="19470"/>
    <cellStyle name="Total 4 2 3 3" xfId="19471"/>
    <cellStyle name="Total 4 2 3 3 2" xfId="19472"/>
    <cellStyle name="Total 4 2 3 3 2 2" xfId="19473"/>
    <cellStyle name="Total 4 2 3 3 3" xfId="19474"/>
    <cellStyle name="Total 4 2 3 3 3 2" xfId="19475"/>
    <cellStyle name="Total 4 2 3 3 4" xfId="19476"/>
    <cellStyle name="Total 4 2 3 3 4 2" xfId="19477"/>
    <cellStyle name="Total 4 2 3 3 5" xfId="19478"/>
    <cellStyle name="Total 4 2 3 3 5 2" xfId="19479"/>
    <cellStyle name="Total 4 2 3 4" xfId="19480"/>
    <cellStyle name="Total 4 2 3 4 2" xfId="19481"/>
    <cellStyle name="Total 4 2 3 4 2 2" xfId="19482"/>
    <cellStyle name="Total 4 2 3 4 3" xfId="19483"/>
    <cellStyle name="Total 4 2 3 4 3 2" xfId="19484"/>
    <cellStyle name="Total 4 2 3 4 4" xfId="19485"/>
    <cellStyle name="Total 4 2 3 4 4 2" xfId="19486"/>
    <cellStyle name="Total 4 2 3 4 5" xfId="19487"/>
    <cellStyle name="Total 4 2 3 4 5 2" xfId="19488"/>
    <cellStyle name="Total 4 2 3 5" xfId="19489"/>
    <cellStyle name="Total 4 2 3 5 2" xfId="19490"/>
    <cellStyle name="Total 4 2 3 6" xfId="19491"/>
    <cellStyle name="Total 4 2 3 6 2" xfId="19492"/>
    <cellStyle name="Total 4 2 3 7" xfId="19493"/>
    <cellStyle name="Total 4 2 3 7 2" xfId="19494"/>
    <cellStyle name="Total 4 2 3 8" xfId="19495"/>
    <cellStyle name="Total 4 2 3 8 2" xfId="19496"/>
    <cellStyle name="Total 4 2 4" xfId="2755"/>
    <cellStyle name="Total 4 2 4 2" xfId="2756"/>
    <cellStyle name="Total 4 2 4 2 2" xfId="19497"/>
    <cellStyle name="Total 4 2 4 2 2 2" xfId="19498"/>
    <cellStyle name="Total 4 2 4 2 2 2 2" xfId="19499"/>
    <cellStyle name="Total 4 2 4 2 2 3" xfId="19500"/>
    <cellStyle name="Total 4 2 4 2 2 3 2" xfId="19501"/>
    <cellStyle name="Total 4 2 4 2 2 4" xfId="19502"/>
    <cellStyle name="Total 4 2 4 2 2 4 2" xfId="19503"/>
    <cellStyle name="Total 4 2 4 2 2 5" xfId="19504"/>
    <cellStyle name="Total 4 2 4 2 2 5 2" xfId="19505"/>
    <cellStyle name="Total 4 2 4 2 3" xfId="19506"/>
    <cellStyle name="Total 4 2 4 2 3 2" xfId="19507"/>
    <cellStyle name="Total 4 2 4 2 3 2 2" xfId="19508"/>
    <cellStyle name="Total 4 2 4 2 3 3" xfId="19509"/>
    <cellStyle name="Total 4 2 4 2 3 3 2" xfId="19510"/>
    <cellStyle name="Total 4 2 4 2 3 4" xfId="19511"/>
    <cellStyle name="Total 4 2 4 2 3 4 2" xfId="19512"/>
    <cellStyle name="Total 4 2 4 2 3 5" xfId="19513"/>
    <cellStyle name="Total 4 2 4 2 3 5 2" xfId="19514"/>
    <cellStyle name="Total 4 2 4 2 4" xfId="19515"/>
    <cellStyle name="Total 4 2 4 2 4 2" xfId="19516"/>
    <cellStyle name="Total 4 2 4 2 5" xfId="19517"/>
    <cellStyle name="Total 4 2 4 2 5 2" xfId="19518"/>
    <cellStyle name="Total 4 2 4 2 6" xfId="19519"/>
    <cellStyle name="Total 4 2 4 2 6 2" xfId="19520"/>
    <cellStyle name="Total 4 2 4 2 7" xfId="19521"/>
    <cellStyle name="Total 4 2 4 2 7 2" xfId="19522"/>
    <cellStyle name="Total 4 2 4 3" xfId="19523"/>
    <cellStyle name="Total 4 2 4 3 2" xfId="19524"/>
    <cellStyle name="Total 4 2 4 3 2 2" xfId="19525"/>
    <cellStyle name="Total 4 2 4 3 3" xfId="19526"/>
    <cellStyle name="Total 4 2 4 3 3 2" xfId="19527"/>
    <cellStyle name="Total 4 2 4 3 4" xfId="19528"/>
    <cellStyle name="Total 4 2 4 3 4 2" xfId="19529"/>
    <cellStyle name="Total 4 2 4 3 5" xfId="19530"/>
    <cellStyle name="Total 4 2 4 3 5 2" xfId="19531"/>
    <cellStyle name="Total 4 2 4 4" xfId="19532"/>
    <cellStyle name="Total 4 2 4 4 2" xfId="19533"/>
    <cellStyle name="Total 4 2 4 4 2 2" xfId="19534"/>
    <cellStyle name="Total 4 2 4 4 3" xfId="19535"/>
    <cellStyle name="Total 4 2 4 4 3 2" xfId="19536"/>
    <cellStyle name="Total 4 2 4 4 4" xfId="19537"/>
    <cellStyle name="Total 4 2 4 4 4 2" xfId="19538"/>
    <cellStyle name="Total 4 2 4 4 5" xfId="19539"/>
    <cellStyle name="Total 4 2 4 4 5 2" xfId="19540"/>
    <cellStyle name="Total 4 2 4 5" xfId="19541"/>
    <cellStyle name="Total 4 2 4 5 2" xfId="19542"/>
    <cellStyle name="Total 4 2 4 6" xfId="19543"/>
    <cellStyle name="Total 4 2 4 6 2" xfId="19544"/>
    <cellStyle name="Total 4 2 4 7" xfId="19545"/>
    <cellStyle name="Total 4 2 4 7 2" xfId="19546"/>
    <cellStyle name="Total 4 2 4 8" xfId="19547"/>
    <cellStyle name="Total 4 2 4 8 2" xfId="19548"/>
    <cellStyle name="Total 4 2 5" xfId="2757"/>
    <cellStyle name="Total 4 2 5 2" xfId="2758"/>
    <cellStyle name="Total 4 2 5 2 2" xfId="19549"/>
    <cellStyle name="Total 4 2 5 2 2 2" xfId="19550"/>
    <cellStyle name="Total 4 2 5 2 2 2 2" xfId="19551"/>
    <cellStyle name="Total 4 2 5 2 2 3" xfId="19552"/>
    <cellStyle name="Total 4 2 5 2 2 3 2" xfId="19553"/>
    <cellStyle name="Total 4 2 5 2 2 4" xfId="19554"/>
    <cellStyle name="Total 4 2 5 2 2 4 2" xfId="19555"/>
    <cellStyle name="Total 4 2 5 2 2 5" xfId="19556"/>
    <cellStyle name="Total 4 2 5 2 2 5 2" xfId="19557"/>
    <cellStyle name="Total 4 2 5 2 3" xfId="19558"/>
    <cellStyle name="Total 4 2 5 2 3 2" xfId="19559"/>
    <cellStyle name="Total 4 2 5 2 3 2 2" xfId="19560"/>
    <cellStyle name="Total 4 2 5 2 3 3" xfId="19561"/>
    <cellStyle name="Total 4 2 5 2 3 3 2" xfId="19562"/>
    <cellStyle name="Total 4 2 5 2 3 4" xfId="19563"/>
    <cellStyle name="Total 4 2 5 2 3 4 2" xfId="19564"/>
    <cellStyle name="Total 4 2 5 2 3 5" xfId="19565"/>
    <cellStyle name="Total 4 2 5 2 3 5 2" xfId="19566"/>
    <cellStyle name="Total 4 2 5 2 4" xfId="19567"/>
    <cellStyle name="Total 4 2 5 2 4 2" xfId="19568"/>
    <cellStyle name="Total 4 2 5 2 5" xfId="19569"/>
    <cellStyle name="Total 4 2 5 2 5 2" xfId="19570"/>
    <cellStyle name="Total 4 2 5 2 6" xfId="19571"/>
    <cellStyle name="Total 4 2 5 2 6 2" xfId="19572"/>
    <cellStyle name="Total 4 2 5 2 7" xfId="19573"/>
    <cellStyle name="Total 4 2 5 2 7 2" xfId="19574"/>
    <cellStyle name="Total 4 2 5 3" xfId="19575"/>
    <cellStyle name="Total 4 2 5 3 2" xfId="19576"/>
    <cellStyle name="Total 4 2 5 3 2 2" xfId="19577"/>
    <cellStyle name="Total 4 2 5 3 3" xfId="19578"/>
    <cellStyle name="Total 4 2 5 3 3 2" xfId="19579"/>
    <cellStyle name="Total 4 2 5 3 4" xfId="19580"/>
    <cellStyle name="Total 4 2 5 3 4 2" xfId="19581"/>
    <cellStyle name="Total 4 2 5 3 5" xfId="19582"/>
    <cellStyle name="Total 4 2 5 3 5 2" xfId="19583"/>
    <cellStyle name="Total 4 2 5 4" xfId="19584"/>
    <cellStyle name="Total 4 2 5 4 2" xfId="19585"/>
    <cellStyle name="Total 4 2 5 4 2 2" xfId="19586"/>
    <cellStyle name="Total 4 2 5 4 3" xfId="19587"/>
    <cellStyle name="Total 4 2 5 4 3 2" xfId="19588"/>
    <cellStyle name="Total 4 2 5 4 4" xfId="19589"/>
    <cellStyle name="Total 4 2 5 4 4 2" xfId="19590"/>
    <cellStyle name="Total 4 2 5 4 5" xfId="19591"/>
    <cellStyle name="Total 4 2 5 4 5 2" xfId="19592"/>
    <cellStyle name="Total 4 2 5 5" xfId="19593"/>
    <cellStyle name="Total 4 2 5 5 2" xfId="19594"/>
    <cellStyle name="Total 4 2 5 6" xfId="19595"/>
    <cellStyle name="Total 4 2 5 6 2" xfId="19596"/>
    <cellStyle name="Total 4 2 5 7" xfId="19597"/>
    <cellStyle name="Total 4 2 5 7 2" xfId="19598"/>
    <cellStyle name="Total 4 2 5 8" xfId="19599"/>
    <cellStyle name="Total 4 2 5 8 2" xfId="19600"/>
    <cellStyle name="Total 4 2 6" xfId="2759"/>
    <cellStyle name="Total 4 2 6 2" xfId="19601"/>
    <cellStyle name="Total 4 2 6 2 2" xfId="19602"/>
    <cellStyle name="Total 4 2 6 2 2 2" xfId="19603"/>
    <cellStyle name="Total 4 2 6 2 3" xfId="19604"/>
    <cellStyle name="Total 4 2 6 2 3 2" xfId="19605"/>
    <cellStyle name="Total 4 2 6 2 4" xfId="19606"/>
    <cellStyle name="Total 4 2 6 2 4 2" xfId="19607"/>
    <cellStyle name="Total 4 2 6 2 5" xfId="19608"/>
    <cellStyle name="Total 4 2 6 2 5 2" xfId="19609"/>
    <cellStyle name="Total 4 2 6 3" xfId="19610"/>
    <cellStyle name="Total 4 2 6 3 2" xfId="19611"/>
    <cellStyle name="Total 4 2 6 3 2 2" xfId="19612"/>
    <cellStyle name="Total 4 2 6 3 3" xfId="19613"/>
    <cellStyle name="Total 4 2 6 3 3 2" xfId="19614"/>
    <cellStyle name="Total 4 2 6 3 4" xfId="19615"/>
    <cellStyle name="Total 4 2 6 3 4 2" xfId="19616"/>
    <cellStyle name="Total 4 2 6 3 5" xfId="19617"/>
    <cellStyle name="Total 4 2 6 3 5 2" xfId="19618"/>
    <cellStyle name="Total 4 2 6 4" xfId="19619"/>
    <cellStyle name="Total 4 2 6 4 2" xfId="19620"/>
    <cellStyle name="Total 4 2 6 5" xfId="19621"/>
    <cellStyle name="Total 4 2 6 5 2" xfId="19622"/>
    <cellStyle name="Total 4 2 6 6" xfId="19623"/>
    <cellStyle name="Total 4 2 6 6 2" xfId="19624"/>
    <cellStyle name="Total 4 2 6 7" xfId="19625"/>
    <cellStyle name="Total 4 2 6 7 2" xfId="19626"/>
    <cellStyle name="Total 4 2 7" xfId="19627"/>
    <cellStyle name="Total 4 2 7 2" xfId="19628"/>
    <cellStyle name="Total 4 2 7 2 2" xfId="19629"/>
    <cellStyle name="Total 4 2 7 3" xfId="19630"/>
    <cellStyle name="Total 4 2 7 3 2" xfId="19631"/>
    <cellStyle name="Total 4 2 7 4" xfId="19632"/>
    <cellStyle name="Total 4 2 7 4 2" xfId="19633"/>
    <cellStyle name="Total 4 2 7 5" xfId="19634"/>
    <cellStyle name="Total 4 2 7 5 2" xfId="19635"/>
    <cellStyle name="Total 4 2 8" xfId="19636"/>
    <cellStyle name="Total 4 2 8 2" xfId="19637"/>
    <cellStyle name="Total 4 2 8 2 2" xfId="19638"/>
    <cellStyle name="Total 4 2 8 3" xfId="19639"/>
    <cellStyle name="Total 4 2 8 3 2" xfId="19640"/>
    <cellStyle name="Total 4 2 8 4" xfId="19641"/>
    <cellStyle name="Total 4 2 8 4 2" xfId="19642"/>
    <cellStyle name="Total 4 2 8 5" xfId="19643"/>
    <cellStyle name="Total 4 2 8 5 2" xfId="19644"/>
    <cellStyle name="Total 4 2 9" xfId="19645"/>
    <cellStyle name="Total 4 2 9 2" xfId="19646"/>
    <cellStyle name="Total 4 3" xfId="2760"/>
    <cellStyle name="Total 4 3 2" xfId="2761"/>
    <cellStyle name="Total 4 3 2 2" xfId="19647"/>
    <cellStyle name="Total 4 3 2 2 2" xfId="19648"/>
    <cellStyle name="Total 4 3 2 2 2 2" xfId="19649"/>
    <cellStyle name="Total 4 3 2 2 3" xfId="19650"/>
    <cellStyle name="Total 4 3 2 2 3 2" xfId="19651"/>
    <cellStyle name="Total 4 3 2 2 4" xfId="19652"/>
    <cellStyle name="Total 4 3 2 2 4 2" xfId="19653"/>
    <cellStyle name="Total 4 3 2 2 5" xfId="19654"/>
    <cellStyle name="Total 4 3 2 2 5 2" xfId="19655"/>
    <cellStyle name="Total 4 3 2 3" xfId="19656"/>
    <cellStyle name="Total 4 3 2 3 2" xfId="19657"/>
    <cellStyle name="Total 4 3 2 3 2 2" xfId="19658"/>
    <cellStyle name="Total 4 3 2 3 3" xfId="19659"/>
    <cellStyle name="Total 4 3 2 3 3 2" xfId="19660"/>
    <cellStyle name="Total 4 3 2 3 4" xfId="19661"/>
    <cellStyle name="Total 4 3 2 3 4 2" xfId="19662"/>
    <cellStyle name="Total 4 3 2 3 5" xfId="19663"/>
    <cellStyle name="Total 4 3 2 3 5 2" xfId="19664"/>
    <cellStyle name="Total 4 3 2 4" xfId="19665"/>
    <cellStyle name="Total 4 3 2 4 2" xfId="19666"/>
    <cellStyle name="Total 4 3 2 5" xfId="19667"/>
    <cellStyle name="Total 4 3 2 5 2" xfId="19668"/>
    <cellStyle name="Total 4 3 2 6" xfId="19669"/>
    <cellStyle name="Total 4 3 2 6 2" xfId="19670"/>
    <cellStyle name="Total 4 3 2 7" xfId="19671"/>
    <cellStyle name="Total 4 3 2 7 2" xfId="19672"/>
    <cellStyle name="Total 4 3 3" xfId="19673"/>
    <cellStyle name="Total 4 3 3 2" xfId="19674"/>
    <cellStyle name="Total 4 3 3 2 2" xfId="19675"/>
    <cellStyle name="Total 4 3 3 3" xfId="19676"/>
    <cellStyle name="Total 4 3 3 3 2" xfId="19677"/>
    <cellStyle name="Total 4 3 3 4" xfId="19678"/>
    <cellStyle name="Total 4 3 3 4 2" xfId="19679"/>
    <cellStyle name="Total 4 3 3 5" xfId="19680"/>
    <cellStyle name="Total 4 3 3 5 2" xfId="19681"/>
    <cellStyle name="Total 4 3 4" xfId="19682"/>
    <cellStyle name="Total 4 3 4 2" xfId="19683"/>
    <cellStyle name="Total 4 3 4 2 2" xfId="19684"/>
    <cellStyle name="Total 4 3 4 3" xfId="19685"/>
    <cellStyle name="Total 4 3 4 3 2" xfId="19686"/>
    <cellStyle name="Total 4 3 4 4" xfId="19687"/>
    <cellStyle name="Total 4 3 4 4 2" xfId="19688"/>
    <cellStyle name="Total 4 3 4 5" xfId="19689"/>
    <cellStyle name="Total 4 3 4 5 2" xfId="19690"/>
    <cellStyle name="Total 4 3 5" xfId="19691"/>
    <cellStyle name="Total 4 3 5 2" xfId="19692"/>
    <cellStyle name="Total 4 3 6" xfId="19693"/>
    <cellStyle name="Total 4 3 6 2" xfId="19694"/>
    <cellStyle name="Total 4 3 7" xfId="19695"/>
    <cellStyle name="Total 4 3 7 2" xfId="19696"/>
    <cellStyle name="Total 4 3 8" xfId="19697"/>
    <cellStyle name="Total 4 3 8 2" xfId="19698"/>
    <cellStyle name="Total 4 4" xfId="2762"/>
    <cellStyle name="Total 4 4 2" xfId="2763"/>
    <cellStyle name="Total 4 4 2 2" xfId="19699"/>
    <cellStyle name="Total 4 4 2 2 2" xfId="19700"/>
    <cellStyle name="Total 4 4 2 2 2 2" xfId="19701"/>
    <cellStyle name="Total 4 4 2 2 3" xfId="19702"/>
    <cellStyle name="Total 4 4 2 2 3 2" xfId="19703"/>
    <cellStyle name="Total 4 4 2 2 4" xfId="19704"/>
    <cellStyle name="Total 4 4 2 2 4 2" xfId="19705"/>
    <cellStyle name="Total 4 4 2 2 5" xfId="19706"/>
    <cellStyle name="Total 4 4 2 2 5 2" xfId="19707"/>
    <cellStyle name="Total 4 4 2 3" xfId="19708"/>
    <cellStyle name="Total 4 4 2 3 2" xfId="19709"/>
    <cellStyle name="Total 4 4 2 3 2 2" xfId="19710"/>
    <cellStyle name="Total 4 4 2 3 3" xfId="19711"/>
    <cellStyle name="Total 4 4 2 3 3 2" xfId="19712"/>
    <cellStyle name="Total 4 4 2 3 4" xfId="19713"/>
    <cellStyle name="Total 4 4 2 3 4 2" xfId="19714"/>
    <cellStyle name="Total 4 4 2 3 5" xfId="19715"/>
    <cellStyle name="Total 4 4 2 3 5 2" xfId="19716"/>
    <cellStyle name="Total 4 4 2 4" xfId="19717"/>
    <cellStyle name="Total 4 4 2 4 2" xfId="19718"/>
    <cellStyle name="Total 4 4 2 5" xfId="19719"/>
    <cellStyle name="Total 4 4 2 5 2" xfId="19720"/>
    <cellStyle name="Total 4 4 2 6" xfId="19721"/>
    <cellStyle name="Total 4 4 2 6 2" xfId="19722"/>
    <cellStyle name="Total 4 4 2 7" xfId="19723"/>
    <cellStyle name="Total 4 4 2 7 2" xfId="19724"/>
    <cellStyle name="Total 4 4 3" xfId="19725"/>
    <cellStyle name="Total 4 4 3 2" xfId="19726"/>
    <cellStyle name="Total 4 4 3 2 2" xfId="19727"/>
    <cellStyle name="Total 4 4 3 3" xfId="19728"/>
    <cellStyle name="Total 4 4 3 3 2" xfId="19729"/>
    <cellStyle name="Total 4 4 3 4" xfId="19730"/>
    <cellStyle name="Total 4 4 3 4 2" xfId="19731"/>
    <cellStyle name="Total 4 4 3 5" xfId="19732"/>
    <cellStyle name="Total 4 4 3 5 2" xfId="19733"/>
    <cellStyle name="Total 4 4 4" xfId="19734"/>
    <cellStyle name="Total 4 4 4 2" xfId="19735"/>
    <cellStyle name="Total 4 4 4 2 2" xfId="19736"/>
    <cellStyle name="Total 4 4 4 3" xfId="19737"/>
    <cellStyle name="Total 4 4 4 3 2" xfId="19738"/>
    <cellStyle name="Total 4 4 4 4" xfId="19739"/>
    <cellStyle name="Total 4 4 4 4 2" xfId="19740"/>
    <cellStyle name="Total 4 4 4 5" xfId="19741"/>
    <cellStyle name="Total 4 4 4 5 2" xfId="19742"/>
    <cellStyle name="Total 4 4 5" xfId="19743"/>
    <cellStyle name="Total 4 4 5 2" xfId="19744"/>
    <cellStyle name="Total 4 4 6" xfId="19745"/>
    <cellStyle name="Total 4 4 6 2" xfId="19746"/>
    <cellStyle name="Total 4 4 7" xfId="19747"/>
    <cellStyle name="Total 4 4 7 2" xfId="19748"/>
    <cellStyle name="Total 4 4 8" xfId="19749"/>
    <cellStyle name="Total 4 4 8 2" xfId="19750"/>
    <cellStyle name="Total 4 5" xfId="2764"/>
    <cellStyle name="Total 4 5 2" xfId="2765"/>
    <cellStyle name="Total 4 5 2 2" xfId="19751"/>
    <cellStyle name="Total 4 5 2 2 2" xfId="19752"/>
    <cellStyle name="Total 4 5 2 2 2 2" xfId="19753"/>
    <cellStyle name="Total 4 5 2 2 3" xfId="19754"/>
    <cellStyle name="Total 4 5 2 2 3 2" xfId="19755"/>
    <cellStyle name="Total 4 5 2 2 4" xfId="19756"/>
    <cellStyle name="Total 4 5 2 2 4 2" xfId="19757"/>
    <cellStyle name="Total 4 5 2 2 5" xfId="19758"/>
    <cellStyle name="Total 4 5 2 2 5 2" xfId="19759"/>
    <cellStyle name="Total 4 5 2 3" xfId="19760"/>
    <cellStyle name="Total 4 5 2 3 2" xfId="19761"/>
    <cellStyle name="Total 4 5 2 3 2 2" xfId="19762"/>
    <cellStyle name="Total 4 5 2 3 3" xfId="19763"/>
    <cellStyle name="Total 4 5 2 3 3 2" xfId="19764"/>
    <cellStyle name="Total 4 5 2 3 4" xfId="19765"/>
    <cellStyle name="Total 4 5 2 3 4 2" xfId="19766"/>
    <cellStyle name="Total 4 5 2 3 5" xfId="19767"/>
    <cellStyle name="Total 4 5 2 3 5 2" xfId="19768"/>
    <cellStyle name="Total 4 5 2 4" xfId="19769"/>
    <cellStyle name="Total 4 5 2 4 2" xfId="19770"/>
    <cellStyle name="Total 4 5 2 5" xfId="19771"/>
    <cellStyle name="Total 4 5 2 5 2" xfId="19772"/>
    <cellStyle name="Total 4 5 2 6" xfId="19773"/>
    <cellStyle name="Total 4 5 2 6 2" xfId="19774"/>
    <cellStyle name="Total 4 5 2 7" xfId="19775"/>
    <cellStyle name="Total 4 5 2 7 2" xfId="19776"/>
    <cellStyle name="Total 4 5 3" xfId="19777"/>
    <cellStyle name="Total 4 5 3 2" xfId="19778"/>
    <cellStyle name="Total 4 5 3 2 2" xfId="19779"/>
    <cellStyle name="Total 4 5 3 3" xfId="19780"/>
    <cellStyle name="Total 4 5 3 3 2" xfId="19781"/>
    <cellStyle name="Total 4 5 3 4" xfId="19782"/>
    <cellStyle name="Total 4 5 3 4 2" xfId="19783"/>
    <cellStyle name="Total 4 5 3 5" xfId="19784"/>
    <cellStyle name="Total 4 5 3 5 2" xfId="19785"/>
    <cellStyle name="Total 4 5 4" xfId="19786"/>
    <cellStyle name="Total 4 5 4 2" xfId="19787"/>
    <cellStyle name="Total 4 5 4 2 2" xfId="19788"/>
    <cellStyle name="Total 4 5 4 3" xfId="19789"/>
    <cellStyle name="Total 4 5 4 3 2" xfId="19790"/>
    <cellStyle name="Total 4 5 4 4" xfId="19791"/>
    <cellStyle name="Total 4 5 4 4 2" xfId="19792"/>
    <cellStyle name="Total 4 5 4 5" xfId="19793"/>
    <cellStyle name="Total 4 5 4 5 2" xfId="19794"/>
    <cellStyle name="Total 4 5 5" xfId="19795"/>
    <cellStyle name="Total 4 5 5 2" xfId="19796"/>
    <cellStyle name="Total 4 5 6" xfId="19797"/>
    <cellStyle name="Total 4 5 6 2" xfId="19798"/>
    <cellStyle name="Total 4 5 7" xfId="19799"/>
    <cellStyle name="Total 4 5 7 2" xfId="19800"/>
    <cellStyle name="Total 4 5 8" xfId="19801"/>
    <cellStyle name="Total 4 5 8 2" xfId="19802"/>
    <cellStyle name="Total 4 6" xfId="2766"/>
    <cellStyle name="Total 4 6 2" xfId="2767"/>
    <cellStyle name="Total 4 6 2 2" xfId="19803"/>
    <cellStyle name="Total 4 6 2 2 2" xfId="19804"/>
    <cellStyle name="Total 4 6 2 2 2 2" xfId="19805"/>
    <cellStyle name="Total 4 6 2 2 3" xfId="19806"/>
    <cellStyle name="Total 4 6 2 2 3 2" xfId="19807"/>
    <cellStyle name="Total 4 6 2 2 4" xfId="19808"/>
    <cellStyle name="Total 4 6 2 2 4 2" xfId="19809"/>
    <cellStyle name="Total 4 6 2 2 5" xfId="19810"/>
    <cellStyle name="Total 4 6 2 2 5 2" xfId="19811"/>
    <cellStyle name="Total 4 6 2 3" xfId="19812"/>
    <cellStyle name="Total 4 6 2 3 2" xfId="19813"/>
    <cellStyle name="Total 4 6 2 3 2 2" xfId="19814"/>
    <cellStyle name="Total 4 6 2 3 3" xfId="19815"/>
    <cellStyle name="Total 4 6 2 3 3 2" xfId="19816"/>
    <cellStyle name="Total 4 6 2 3 4" xfId="19817"/>
    <cellStyle name="Total 4 6 2 3 4 2" xfId="19818"/>
    <cellStyle name="Total 4 6 2 3 5" xfId="19819"/>
    <cellStyle name="Total 4 6 2 3 5 2" xfId="19820"/>
    <cellStyle name="Total 4 6 2 4" xfId="19821"/>
    <cellStyle name="Total 4 6 2 4 2" xfId="19822"/>
    <cellStyle name="Total 4 6 2 5" xfId="19823"/>
    <cellStyle name="Total 4 6 2 5 2" xfId="19824"/>
    <cellStyle name="Total 4 6 2 6" xfId="19825"/>
    <cellStyle name="Total 4 6 2 6 2" xfId="19826"/>
    <cellStyle name="Total 4 6 2 7" xfId="19827"/>
    <cellStyle name="Total 4 6 2 7 2" xfId="19828"/>
    <cellStyle name="Total 4 6 3" xfId="19829"/>
    <cellStyle name="Total 4 6 3 2" xfId="19830"/>
    <cellStyle name="Total 4 6 3 2 2" xfId="19831"/>
    <cellStyle name="Total 4 6 3 3" xfId="19832"/>
    <cellStyle name="Total 4 6 3 3 2" xfId="19833"/>
    <cellStyle name="Total 4 6 3 4" xfId="19834"/>
    <cellStyle name="Total 4 6 3 4 2" xfId="19835"/>
    <cellStyle name="Total 4 6 3 5" xfId="19836"/>
    <cellStyle name="Total 4 6 3 5 2" xfId="19837"/>
    <cellStyle name="Total 4 6 4" xfId="19838"/>
    <cellStyle name="Total 4 6 4 2" xfId="19839"/>
    <cellStyle name="Total 4 6 4 2 2" xfId="19840"/>
    <cellStyle name="Total 4 6 4 3" xfId="19841"/>
    <cellStyle name="Total 4 6 4 3 2" xfId="19842"/>
    <cellStyle name="Total 4 6 4 4" xfId="19843"/>
    <cellStyle name="Total 4 6 4 4 2" xfId="19844"/>
    <cellStyle name="Total 4 6 4 5" xfId="19845"/>
    <cellStyle name="Total 4 6 4 5 2" xfId="19846"/>
    <cellStyle name="Total 4 6 5" xfId="19847"/>
    <cellStyle name="Total 4 6 5 2" xfId="19848"/>
    <cellStyle name="Total 4 6 6" xfId="19849"/>
    <cellStyle name="Total 4 6 6 2" xfId="19850"/>
    <cellStyle name="Total 4 6 7" xfId="19851"/>
    <cellStyle name="Total 4 6 7 2" xfId="19852"/>
    <cellStyle name="Total 4 6 8" xfId="19853"/>
    <cellStyle name="Total 4 6 8 2" xfId="19854"/>
    <cellStyle name="Total 4 7" xfId="2768"/>
    <cellStyle name="Total 4 7 2" xfId="19855"/>
    <cellStyle name="Total 4 7 2 2" xfId="19856"/>
    <cellStyle name="Total 4 7 2 2 2" xfId="19857"/>
    <cellStyle name="Total 4 7 2 3" xfId="19858"/>
    <cellStyle name="Total 4 7 2 3 2" xfId="19859"/>
    <cellStyle name="Total 4 7 2 4" xfId="19860"/>
    <cellStyle name="Total 4 7 2 4 2" xfId="19861"/>
    <cellStyle name="Total 4 7 2 5" xfId="19862"/>
    <cellStyle name="Total 4 7 2 5 2" xfId="19863"/>
    <cellStyle name="Total 4 7 3" xfId="19864"/>
    <cellStyle name="Total 4 7 3 2" xfId="19865"/>
    <cellStyle name="Total 4 7 3 2 2" xfId="19866"/>
    <cellStyle name="Total 4 7 3 3" xfId="19867"/>
    <cellStyle name="Total 4 7 3 3 2" xfId="19868"/>
    <cellStyle name="Total 4 7 3 4" xfId="19869"/>
    <cellStyle name="Total 4 7 3 4 2" xfId="19870"/>
    <cellStyle name="Total 4 7 3 5" xfId="19871"/>
    <cellStyle name="Total 4 7 3 5 2" xfId="19872"/>
    <cellStyle name="Total 4 7 4" xfId="19873"/>
    <cellStyle name="Total 4 7 4 2" xfId="19874"/>
    <cellStyle name="Total 4 7 5" xfId="19875"/>
    <cellStyle name="Total 4 7 5 2" xfId="19876"/>
    <cellStyle name="Total 4 7 6" xfId="19877"/>
    <cellStyle name="Total 4 7 6 2" xfId="19878"/>
    <cellStyle name="Total 4 7 7" xfId="19879"/>
    <cellStyle name="Total 4 7 7 2" xfId="19880"/>
    <cellStyle name="Total 4 8" xfId="19881"/>
    <cellStyle name="Total 4 8 2" xfId="19882"/>
    <cellStyle name="Total 4 8 2 2" xfId="19883"/>
    <cellStyle name="Total 4 8 3" xfId="19884"/>
    <cellStyle name="Total 4 8 3 2" xfId="19885"/>
    <cellStyle name="Total 4 8 4" xfId="19886"/>
    <cellStyle name="Total 4 8 4 2" xfId="19887"/>
    <cellStyle name="Total 4 8 5" xfId="19888"/>
    <cellStyle name="Total 4 8 5 2" xfId="19889"/>
    <cellStyle name="Total 4 9" xfId="19890"/>
    <cellStyle name="Total 4 9 2" xfId="19891"/>
    <cellStyle name="Total 4 9 2 2" xfId="19892"/>
    <cellStyle name="Total 4 9 3" xfId="19893"/>
    <cellStyle name="Total 4 9 3 2" xfId="19894"/>
    <cellStyle name="Total 4 9 4" xfId="19895"/>
    <cellStyle name="Total 4 9 4 2" xfId="19896"/>
    <cellStyle name="Total 4 9 5" xfId="19897"/>
    <cellStyle name="Total 4 9 5 2" xfId="19898"/>
    <cellStyle name="Total 5" xfId="1994"/>
    <cellStyle name="Total 5 10" xfId="19899"/>
    <cellStyle name="Total 5 10 2" xfId="19900"/>
    <cellStyle name="Total 5 11" xfId="19901"/>
    <cellStyle name="Total 5 11 2" xfId="19902"/>
    <cellStyle name="Total 5 12" xfId="19903"/>
    <cellStyle name="Total 5 12 2" xfId="19904"/>
    <cellStyle name="Total 5 13" xfId="19905"/>
    <cellStyle name="Total 5 13 2" xfId="19906"/>
    <cellStyle name="Total 5 2" xfId="2769"/>
    <cellStyle name="Total 5 2 10" xfId="19907"/>
    <cellStyle name="Total 5 2 10 2" xfId="19908"/>
    <cellStyle name="Total 5 2 11" xfId="19909"/>
    <cellStyle name="Total 5 2 11 2" xfId="19910"/>
    <cellStyle name="Total 5 2 12" xfId="19911"/>
    <cellStyle name="Total 5 2 12 2" xfId="19912"/>
    <cellStyle name="Total 5 2 2" xfId="2770"/>
    <cellStyle name="Total 5 2 2 2" xfId="2771"/>
    <cellStyle name="Total 5 2 2 2 2" xfId="19913"/>
    <cellStyle name="Total 5 2 2 2 2 2" xfId="19914"/>
    <cellStyle name="Total 5 2 2 2 2 2 2" xfId="19915"/>
    <cellStyle name="Total 5 2 2 2 2 3" xfId="19916"/>
    <cellStyle name="Total 5 2 2 2 2 3 2" xfId="19917"/>
    <cellStyle name="Total 5 2 2 2 2 4" xfId="19918"/>
    <cellStyle name="Total 5 2 2 2 2 4 2" xfId="19919"/>
    <cellStyle name="Total 5 2 2 2 2 5" xfId="19920"/>
    <cellStyle name="Total 5 2 2 2 2 5 2" xfId="19921"/>
    <cellStyle name="Total 5 2 2 2 3" xfId="19922"/>
    <cellStyle name="Total 5 2 2 2 3 2" xfId="19923"/>
    <cellStyle name="Total 5 2 2 2 3 2 2" xfId="19924"/>
    <cellStyle name="Total 5 2 2 2 3 3" xfId="19925"/>
    <cellStyle name="Total 5 2 2 2 3 3 2" xfId="19926"/>
    <cellStyle name="Total 5 2 2 2 3 4" xfId="19927"/>
    <cellStyle name="Total 5 2 2 2 3 4 2" xfId="19928"/>
    <cellStyle name="Total 5 2 2 2 3 5" xfId="19929"/>
    <cellStyle name="Total 5 2 2 2 3 5 2" xfId="19930"/>
    <cellStyle name="Total 5 2 2 2 4" xfId="19931"/>
    <cellStyle name="Total 5 2 2 2 4 2" xfId="19932"/>
    <cellStyle name="Total 5 2 2 2 5" xfId="19933"/>
    <cellStyle name="Total 5 2 2 2 5 2" xfId="19934"/>
    <cellStyle name="Total 5 2 2 2 6" xfId="19935"/>
    <cellStyle name="Total 5 2 2 2 6 2" xfId="19936"/>
    <cellStyle name="Total 5 2 2 2 7" xfId="19937"/>
    <cellStyle name="Total 5 2 2 2 7 2" xfId="19938"/>
    <cellStyle name="Total 5 2 2 3" xfId="19939"/>
    <cellStyle name="Total 5 2 2 3 2" xfId="19940"/>
    <cellStyle name="Total 5 2 2 3 2 2" xfId="19941"/>
    <cellStyle name="Total 5 2 2 3 3" xfId="19942"/>
    <cellStyle name="Total 5 2 2 3 3 2" xfId="19943"/>
    <cellStyle name="Total 5 2 2 3 4" xfId="19944"/>
    <cellStyle name="Total 5 2 2 3 4 2" xfId="19945"/>
    <cellStyle name="Total 5 2 2 3 5" xfId="19946"/>
    <cellStyle name="Total 5 2 2 3 5 2" xfId="19947"/>
    <cellStyle name="Total 5 2 2 4" xfId="19948"/>
    <cellStyle name="Total 5 2 2 4 2" xfId="19949"/>
    <cellStyle name="Total 5 2 2 4 2 2" xfId="19950"/>
    <cellStyle name="Total 5 2 2 4 3" xfId="19951"/>
    <cellStyle name="Total 5 2 2 4 3 2" xfId="19952"/>
    <cellStyle name="Total 5 2 2 4 4" xfId="19953"/>
    <cellStyle name="Total 5 2 2 4 4 2" xfId="19954"/>
    <cellStyle name="Total 5 2 2 4 5" xfId="19955"/>
    <cellStyle name="Total 5 2 2 4 5 2" xfId="19956"/>
    <cellStyle name="Total 5 2 2 5" xfId="19957"/>
    <cellStyle name="Total 5 2 2 5 2" xfId="19958"/>
    <cellStyle name="Total 5 2 2 6" xfId="19959"/>
    <cellStyle name="Total 5 2 2 6 2" xfId="19960"/>
    <cellStyle name="Total 5 2 2 7" xfId="19961"/>
    <cellStyle name="Total 5 2 2 7 2" xfId="19962"/>
    <cellStyle name="Total 5 2 2 8" xfId="19963"/>
    <cellStyle name="Total 5 2 2 8 2" xfId="19964"/>
    <cellStyle name="Total 5 2 3" xfId="2772"/>
    <cellStyle name="Total 5 2 3 2" xfId="2773"/>
    <cellStyle name="Total 5 2 3 2 2" xfId="19965"/>
    <cellStyle name="Total 5 2 3 2 2 2" xfId="19966"/>
    <cellStyle name="Total 5 2 3 2 2 2 2" xfId="19967"/>
    <cellStyle name="Total 5 2 3 2 2 3" xfId="19968"/>
    <cellStyle name="Total 5 2 3 2 2 3 2" xfId="19969"/>
    <cellStyle name="Total 5 2 3 2 2 4" xfId="19970"/>
    <cellStyle name="Total 5 2 3 2 2 4 2" xfId="19971"/>
    <cellStyle name="Total 5 2 3 2 2 5" xfId="19972"/>
    <cellStyle name="Total 5 2 3 2 2 5 2" xfId="19973"/>
    <cellStyle name="Total 5 2 3 2 3" xfId="19974"/>
    <cellStyle name="Total 5 2 3 2 3 2" xfId="19975"/>
    <cellStyle name="Total 5 2 3 2 3 2 2" xfId="19976"/>
    <cellStyle name="Total 5 2 3 2 3 3" xfId="19977"/>
    <cellStyle name="Total 5 2 3 2 3 3 2" xfId="19978"/>
    <cellStyle name="Total 5 2 3 2 3 4" xfId="19979"/>
    <cellStyle name="Total 5 2 3 2 3 4 2" xfId="19980"/>
    <cellStyle name="Total 5 2 3 2 3 5" xfId="19981"/>
    <cellStyle name="Total 5 2 3 2 3 5 2" xfId="19982"/>
    <cellStyle name="Total 5 2 3 2 4" xfId="19983"/>
    <cellStyle name="Total 5 2 3 2 4 2" xfId="19984"/>
    <cellStyle name="Total 5 2 3 2 5" xfId="19985"/>
    <cellStyle name="Total 5 2 3 2 5 2" xfId="19986"/>
    <cellStyle name="Total 5 2 3 2 6" xfId="19987"/>
    <cellStyle name="Total 5 2 3 2 6 2" xfId="19988"/>
    <cellStyle name="Total 5 2 3 2 7" xfId="19989"/>
    <cellStyle name="Total 5 2 3 2 7 2" xfId="19990"/>
    <cellStyle name="Total 5 2 3 3" xfId="19991"/>
    <cellStyle name="Total 5 2 3 3 2" xfId="19992"/>
    <cellStyle name="Total 5 2 3 3 2 2" xfId="19993"/>
    <cellStyle name="Total 5 2 3 3 3" xfId="19994"/>
    <cellStyle name="Total 5 2 3 3 3 2" xfId="19995"/>
    <cellStyle name="Total 5 2 3 3 4" xfId="19996"/>
    <cellStyle name="Total 5 2 3 3 4 2" xfId="19997"/>
    <cellStyle name="Total 5 2 3 3 5" xfId="19998"/>
    <cellStyle name="Total 5 2 3 3 5 2" xfId="19999"/>
    <cellStyle name="Total 5 2 3 4" xfId="20000"/>
    <cellStyle name="Total 5 2 3 4 2" xfId="20001"/>
    <cellStyle name="Total 5 2 3 4 2 2" xfId="20002"/>
    <cellStyle name="Total 5 2 3 4 3" xfId="20003"/>
    <cellStyle name="Total 5 2 3 4 3 2" xfId="20004"/>
    <cellStyle name="Total 5 2 3 4 4" xfId="20005"/>
    <cellStyle name="Total 5 2 3 4 4 2" xfId="20006"/>
    <cellStyle name="Total 5 2 3 4 5" xfId="20007"/>
    <cellStyle name="Total 5 2 3 4 5 2" xfId="20008"/>
    <cellStyle name="Total 5 2 3 5" xfId="20009"/>
    <cellStyle name="Total 5 2 3 5 2" xfId="20010"/>
    <cellStyle name="Total 5 2 3 6" xfId="20011"/>
    <cellStyle name="Total 5 2 3 6 2" xfId="20012"/>
    <cellStyle name="Total 5 2 3 7" xfId="20013"/>
    <cellStyle name="Total 5 2 3 7 2" xfId="20014"/>
    <cellStyle name="Total 5 2 3 8" xfId="20015"/>
    <cellStyle name="Total 5 2 3 8 2" xfId="20016"/>
    <cellStyle name="Total 5 2 4" xfId="2774"/>
    <cellStyle name="Total 5 2 4 2" xfId="2775"/>
    <cellStyle name="Total 5 2 4 2 2" xfId="20017"/>
    <cellStyle name="Total 5 2 4 2 2 2" xfId="20018"/>
    <cellStyle name="Total 5 2 4 2 2 2 2" xfId="20019"/>
    <cellStyle name="Total 5 2 4 2 2 3" xfId="20020"/>
    <cellStyle name="Total 5 2 4 2 2 3 2" xfId="20021"/>
    <cellStyle name="Total 5 2 4 2 2 4" xfId="20022"/>
    <cellStyle name="Total 5 2 4 2 2 4 2" xfId="20023"/>
    <cellStyle name="Total 5 2 4 2 2 5" xfId="20024"/>
    <cellStyle name="Total 5 2 4 2 2 5 2" xfId="20025"/>
    <cellStyle name="Total 5 2 4 2 3" xfId="20026"/>
    <cellStyle name="Total 5 2 4 2 3 2" xfId="20027"/>
    <cellStyle name="Total 5 2 4 2 3 2 2" xfId="20028"/>
    <cellStyle name="Total 5 2 4 2 3 3" xfId="20029"/>
    <cellStyle name="Total 5 2 4 2 3 3 2" xfId="20030"/>
    <cellStyle name="Total 5 2 4 2 3 4" xfId="20031"/>
    <cellStyle name="Total 5 2 4 2 3 4 2" xfId="20032"/>
    <cellStyle name="Total 5 2 4 2 3 5" xfId="20033"/>
    <cellStyle name="Total 5 2 4 2 3 5 2" xfId="20034"/>
    <cellStyle name="Total 5 2 4 2 4" xfId="20035"/>
    <cellStyle name="Total 5 2 4 2 4 2" xfId="20036"/>
    <cellStyle name="Total 5 2 4 2 5" xfId="20037"/>
    <cellStyle name="Total 5 2 4 2 5 2" xfId="20038"/>
    <cellStyle name="Total 5 2 4 2 6" xfId="20039"/>
    <cellStyle name="Total 5 2 4 2 6 2" xfId="20040"/>
    <cellStyle name="Total 5 2 4 2 7" xfId="20041"/>
    <cellStyle name="Total 5 2 4 2 7 2" xfId="20042"/>
    <cellStyle name="Total 5 2 4 3" xfId="20043"/>
    <cellStyle name="Total 5 2 4 3 2" xfId="20044"/>
    <cellStyle name="Total 5 2 4 3 2 2" xfId="20045"/>
    <cellStyle name="Total 5 2 4 3 3" xfId="20046"/>
    <cellStyle name="Total 5 2 4 3 3 2" xfId="20047"/>
    <cellStyle name="Total 5 2 4 3 4" xfId="20048"/>
    <cellStyle name="Total 5 2 4 3 4 2" xfId="20049"/>
    <cellStyle name="Total 5 2 4 3 5" xfId="20050"/>
    <cellStyle name="Total 5 2 4 3 5 2" xfId="20051"/>
    <cellStyle name="Total 5 2 4 4" xfId="20052"/>
    <cellStyle name="Total 5 2 4 4 2" xfId="20053"/>
    <cellStyle name="Total 5 2 4 4 2 2" xfId="20054"/>
    <cellStyle name="Total 5 2 4 4 3" xfId="20055"/>
    <cellStyle name="Total 5 2 4 4 3 2" xfId="20056"/>
    <cellStyle name="Total 5 2 4 4 4" xfId="20057"/>
    <cellStyle name="Total 5 2 4 4 4 2" xfId="20058"/>
    <cellStyle name="Total 5 2 4 4 5" xfId="20059"/>
    <cellStyle name="Total 5 2 4 4 5 2" xfId="20060"/>
    <cellStyle name="Total 5 2 4 5" xfId="20061"/>
    <cellStyle name="Total 5 2 4 5 2" xfId="20062"/>
    <cellStyle name="Total 5 2 4 6" xfId="20063"/>
    <cellStyle name="Total 5 2 4 6 2" xfId="20064"/>
    <cellStyle name="Total 5 2 4 7" xfId="20065"/>
    <cellStyle name="Total 5 2 4 7 2" xfId="20066"/>
    <cellStyle name="Total 5 2 4 8" xfId="20067"/>
    <cellStyle name="Total 5 2 4 8 2" xfId="20068"/>
    <cellStyle name="Total 5 2 5" xfId="2776"/>
    <cellStyle name="Total 5 2 5 2" xfId="2777"/>
    <cellStyle name="Total 5 2 5 2 2" xfId="20069"/>
    <cellStyle name="Total 5 2 5 2 2 2" xfId="20070"/>
    <cellStyle name="Total 5 2 5 2 2 2 2" xfId="20071"/>
    <cellStyle name="Total 5 2 5 2 2 3" xfId="20072"/>
    <cellStyle name="Total 5 2 5 2 2 3 2" xfId="20073"/>
    <cellStyle name="Total 5 2 5 2 2 4" xfId="20074"/>
    <cellStyle name="Total 5 2 5 2 2 4 2" xfId="20075"/>
    <cellStyle name="Total 5 2 5 2 2 5" xfId="20076"/>
    <cellStyle name="Total 5 2 5 2 2 5 2" xfId="20077"/>
    <cellStyle name="Total 5 2 5 2 3" xfId="20078"/>
    <cellStyle name="Total 5 2 5 2 3 2" xfId="20079"/>
    <cellStyle name="Total 5 2 5 2 3 2 2" xfId="20080"/>
    <cellStyle name="Total 5 2 5 2 3 3" xfId="20081"/>
    <cellStyle name="Total 5 2 5 2 3 3 2" xfId="20082"/>
    <cellStyle name="Total 5 2 5 2 3 4" xfId="20083"/>
    <cellStyle name="Total 5 2 5 2 3 4 2" xfId="20084"/>
    <cellStyle name="Total 5 2 5 2 3 5" xfId="20085"/>
    <cellStyle name="Total 5 2 5 2 3 5 2" xfId="20086"/>
    <cellStyle name="Total 5 2 5 2 4" xfId="20087"/>
    <cellStyle name="Total 5 2 5 2 4 2" xfId="20088"/>
    <cellStyle name="Total 5 2 5 2 5" xfId="20089"/>
    <cellStyle name="Total 5 2 5 2 5 2" xfId="20090"/>
    <cellStyle name="Total 5 2 5 2 6" xfId="20091"/>
    <cellStyle name="Total 5 2 5 2 6 2" xfId="20092"/>
    <cellStyle name="Total 5 2 5 2 7" xfId="20093"/>
    <cellStyle name="Total 5 2 5 2 7 2" xfId="20094"/>
    <cellStyle name="Total 5 2 5 3" xfId="20095"/>
    <cellStyle name="Total 5 2 5 3 2" xfId="20096"/>
    <cellStyle name="Total 5 2 5 3 2 2" xfId="20097"/>
    <cellStyle name="Total 5 2 5 3 3" xfId="20098"/>
    <cellStyle name="Total 5 2 5 3 3 2" xfId="20099"/>
    <cellStyle name="Total 5 2 5 3 4" xfId="20100"/>
    <cellStyle name="Total 5 2 5 3 4 2" xfId="20101"/>
    <cellStyle name="Total 5 2 5 3 5" xfId="20102"/>
    <cellStyle name="Total 5 2 5 3 5 2" xfId="20103"/>
    <cellStyle name="Total 5 2 5 4" xfId="20104"/>
    <cellStyle name="Total 5 2 5 4 2" xfId="20105"/>
    <cellStyle name="Total 5 2 5 4 2 2" xfId="20106"/>
    <cellStyle name="Total 5 2 5 4 3" xfId="20107"/>
    <cellStyle name="Total 5 2 5 4 3 2" xfId="20108"/>
    <cellStyle name="Total 5 2 5 4 4" xfId="20109"/>
    <cellStyle name="Total 5 2 5 4 4 2" xfId="20110"/>
    <cellStyle name="Total 5 2 5 4 5" xfId="20111"/>
    <cellStyle name="Total 5 2 5 4 5 2" xfId="20112"/>
    <cellStyle name="Total 5 2 5 5" xfId="20113"/>
    <cellStyle name="Total 5 2 5 5 2" xfId="20114"/>
    <cellStyle name="Total 5 2 5 6" xfId="20115"/>
    <cellStyle name="Total 5 2 5 6 2" xfId="20116"/>
    <cellStyle name="Total 5 2 5 7" xfId="20117"/>
    <cellStyle name="Total 5 2 5 7 2" xfId="20118"/>
    <cellStyle name="Total 5 2 5 8" xfId="20119"/>
    <cellStyle name="Total 5 2 5 8 2" xfId="20120"/>
    <cellStyle name="Total 5 2 6" xfId="2778"/>
    <cellStyle name="Total 5 2 6 2" xfId="20121"/>
    <cellStyle name="Total 5 2 6 2 2" xfId="20122"/>
    <cellStyle name="Total 5 2 6 2 2 2" xfId="20123"/>
    <cellStyle name="Total 5 2 6 2 3" xfId="20124"/>
    <cellStyle name="Total 5 2 6 2 3 2" xfId="20125"/>
    <cellStyle name="Total 5 2 6 2 4" xfId="20126"/>
    <cellStyle name="Total 5 2 6 2 4 2" xfId="20127"/>
    <cellStyle name="Total 5 2 6 2 5" xfId="20128"/>
    <cellStyle name="Total 5 2 6 2 5 2" xfId="20129"/>
    <cellStyle name="Total 5 2 6 3" xfId="20130"/>
    <cellStyle name="Total 5 2 6 3 2" xfId="20131"/>
    <cellStyle name="Total 5 2 6 3 2 2" xfId="20132"/>
    <cellStyle name="Total 5 2 6 3 3" xfId="20133"/>
    <cellStyle name="Total 5 2 6 3 3 2" xfId="20134"/>
    <cellStyle name="Total 5 2 6 3 4" xfId="20135"/>
    <cellStyle name="Total 5 2 6 3 4 2" xfId="20136"/>
    <cellStyle name="Total 5 2 6 3 5" xfId="20137"/>
    <cellStyle name="Total 5 2 6 3 5 2" xfId="20138"/>
    <cellStyle name="Total 5 2 6 4" xfId="20139"/>
    <cellStyle name="Total 5 2 6 4 2" xfId="20140"/>
    <cellStyle name="Total 5 2 6 5" xfId="20141"/>
    <cellStyle name="Total 5 2 6 5 2" xfId="20142"/>
    <cellStyle name="Total 5 2 6 6" xfId="20143"/>
    <cellStyle name="Total 5 2 6 6 2" xfId="20144"/>
    <cellStyle name="Total 5 2 6 7" xfId="20145"/>
    <cellStyle name="Total 5 2 6 7 2" xfId="20146"/>
    <cellStyle name="Total 5 2 7" xfId="20147"/>
    <cellStyle name="Total 5 2 7 2" xfId="20148"/>
    <cellStyle name="Total 5 2 7 2 2" xfId="20149"/>
    <cellStyle name="Total 5 2 7 3" xfId="20150"/>
    <cellStyle name="Total 5 2 7 3 2" xfId="20151"/>
    <cellStyle name="Total 5 2 7 4" xfId="20152"/>
    <cellStyle name="Total 5 2 7 4 2" xfId="20153"/>
    <cellStyle name="Total 5 2 7 5" xfId="20154"/>
    <cellStyle name="Total 5 2 7 5 2" xfId="20155"/>
    <cellStyle name="Total 5 2 8" xfId="20156"/>
    <cellStyle name="Total 5 2 8 2" xfId="20157"/>
    <cellStyle name="Total 5 2 8 2 2" xfId="20158"/>
    <cellStyle name="Total 5 2 8 3" xfId="20159"/>
    <cellStyle name="Total 5 2 8 3 2" xfId="20160"/>
    <cellStyle name="Total 5 2 8 4" xfId="20161"/>
    <cellStyle name="Total 5 2 8 4 2" xfId="20162"/>
    <cellStyle name="Total 5 2 8 5" xfId="20163"/>
    <cellStyle name="Total 5 2 8 5 2" xfId="20164"/>
    <cellStyle name="Total 5 2 9" xfId="20165"/>
    <cellStyle name="Total 5 2 9 2" xfId="20166"/>
    <cellStyle name="Total 5 3" xfId="2779"/>
    <cellStyle name="Total 5 3 2" xfId="2780"/>
    <cellStyle name="Total 5 3 2 2" xfId="20167"/>
    <cellStyle name="Total 5 3 2 2 2" xfId="20168"/>
    <cellStyle name="Total 5 3 2 2 2 2" xfId="20169"/>
    <cellStyle name="Total 5 3 2 2 3" xfId="20170"/>
    <cellStyle name="Total 5 3 2 2 3 2" xfId="20171"/>
    <cellStyle name="Total 5 3 2 2 4" xfId="20172"/>
    <cellStyle name="Total 5 3 2 2 4 2" xfId="20173"/>
    <cellStyle name="Total 5 3 2 2 5" xfId="20174"/>
    <cellStyle name="Total 5 3 2 2 5 2" xfId="20175"/>
    <cellStyle name="Total 5 3 2 3" xfId="20176"/>
    <cellStyle name="Total 5 3 2 3 2" xfId="20177"/>
    <cellStyle name="Total 5 3 2 3 2 2" xfId="20178"/>
    <cellStyle name="Total 5 3 2 3 3" xfId="20179"/>
    <cellStyle name="Total 5 3 2 3 3 2" xfId="20180"/>
    <cellStyle name="Total 5 3 2 3 4" xfId="20181"/>
    <cellStyle name="Total 5 3 2 3 4 2" xfId="20182"/>
    <cellStyle name="Total 5 3 2 3 5" xfId="20183"/>
    <cellStyle name="Total 5 3 2 3 5 2" xfId="20184"/>
    <cellStyle name="Total 5 3 2 4" xfId="20185"/>
    <cellStyle name="Total 5 3 2 4 2" xfId="20186"/>
    <cellStyle name="Total 5 3 2 5" xfId="20187"/>
    <cellStyle name="Total 5 3 2 5 2" xfId="20188"/>
    <cellStyle name="Total 5 3 2 6" xfId="20189"/>
    <cellStyle name="Total 5 3 2 6 2" xfId="20190"/>
    <cellStyle name="Total 5 3 2 7" xfId="20191"/>
    <cellStyle name="Total 5 3 2 7 2" xfId="20192"/>
    <cellStyle name="Total 5 3 3" xfId="20193"/>
    <cellStyle name="Total 5 3 3 2" xfId="20194"/>
    <cellStyle name="Total 5 3 3 2 2" xfId="20195"/>
    <cellStyle name="Total 5 3 3 3" xfId="20196"/>
    <cellStyle name="Total 5 3 3 3 2" xfId="20197"/>
    <cellStyle name="Total 5 3 3 4" xfId="20198"/>
    <cellStyle name="Total 5 3 3 4 2" xfId="20199"/>
    <cellStyle name="Total 5 3 3 5" xfId="20200"/>
    <cellStyle name="Total 5 3 3 5 2" xfId="20201"/>
    <cellStyle name="Total 5 3 4" xfId="20202"/>
    <cellStyle name="Total 5 3 4 2" xfId="20203"/>
    <cellStyle name="Total 5 3 4 2 2" xfId="20204"/>
    <cellStyle name="Total 5 3 4 3" xfId="20205"/>
    <cellStyle name="Total 5 3 4 3 2" xfId="20206"/>
    <cellStyle name="Total 5 3 4 4" xfId="20207"/>
    <cellStyle name="Total 5 3 4 4 2" xfId="20208"/>
    <cellStyle name="Total 5 3 4 5" xfId="20209"/>
    <cellStyle name="Total 5 3 4 5 2" xfId="20210"/>
    <cellStyle name="Total 5 3 5" xfId="20211"/>
    <cellStyle name="Total 5 3 5 2" xfId="20212"/>
    <cellStyle name="Total 5 3 6" xfId="20213"/>
    <cellStyle name="Total 5 3 6 2" xfId="20214"/>
    <cellStyle name="Total 5 3 7" xfId="20215"/>
    <cellStyle name="Total 5 3 7 2" xfId="20216"/>
    <cellStyle name="Total 5 3 8" xfId="20217"/>
    <cellStyle name="Total 5 3 8 2" xfId="20218"/>
    <cellStyle name="Total 5 4" xfId="2781"/>
    <cellStyle name="Total 5 4 2" xfId="2782"/>
    <cellStyle name="Total 5 4 2 2" xfId="20219"/>
    <cellStyle name="Total 5 4 2 2 2" xfId="20220"/>
    <cellStyle name="Total 5 4 2 2 2 2" xfId="20221"/>
    <cellStyle name="Total 5 4 2 2 3" xfId="20222"/>
    <cellStyle name="Total 5 4 2 2 3 2" xfId="20223"/>
    <cellStyle name="Total 5 4 2 2 4" xfId="20224"/>
    <cellStyle name="Total 5 4 2 2 4 2" xfId="20225"/>
    <cellStyle name="Total 5 4 2 2 5" xfId="20226"/>
    <cellStyle name="Total 5 4 2 2 5 2" xfId="20227"/>
    <cellStyle name="Total 5 4 2 3" xfId="20228"/>
    <cellStyle name="Total 5 4 2 3 2" xfId="20229"/>
    <cellStyle name="Total 5 4 2 3 2 2" xfId="20230"/>
    <cellStyle name="Total 5 4 2 3 3" xfId="20231"/>
    <cellStyle name="Total 5 4 2 3 3 2" xfId="20232"/>
    <cellStyle name="Total 5 4 2 3 4" xfId="20233"/>
    <cellStyle name="Total 5 4 2 3 4 2" xfId="20234"/>
    <cellStyle name="Total 5 4 2 3 5" xfId="20235"/>
    <cellStyle name="Total 5 4 2 3 5 2" xfId="20236"/>
    <cellStyle name="Total 5 4 2 4" xfId="20237"/>
    <cellStyle name="Total 5 4 2 4 2" xfId="20238"/>
    <cellStyle name="Total 5 4 2 5" xfId="20239"/>
    <cellStyle name="Total 5 4 2 5 2" xfId="20240"/>
    <cellStyle name="Total 5 4 2 6" xfId="20241"/>
    <cellStyle name="Total 5 4 2 6 2" xfId="20242"/>
    <cellStyle name="Total 5 4 2 7" xfId="20243"/>
    <cellStyle name="Total 5 4 2 7 2" xfId="20244"/>
    <cellStyle name="Total 5 4 3" xfId="20245"/>
    <cellStyle name="Total 5 4 3 2" xfId="20246"/>
    <cellStyle name="Total 5 4 3 2 2" xfId="20247"/>
    <cellStyle name="Total 5 4 3 3" xfId="20248"/>
    <cellStyle name="Total 5 4 3 3 2" xfId="20249"/>
    <cellStyle name="Total 5 4 3 4" xfId="20250"/>
    <cellStyle name="Total 5 4 3 4 2" xfId="20251"/>
    <cellStyle name="Total 5 4 3 5" xfId="20252"/>
    <cellStyle name="Total 5 4 3 5 2" xfId="20253"/>
    <cellStyle name="Total 5 4 4" xfId="20254"/>
    <cellStyle name="Total 5 4 4 2" xfId="20255"/>
    <cellStyle name="Total 5 4 4 2 2" xfId="20256"/>
    <cellStyle name="Total 5 4 4 3" xfId="20257"/>
    <cellStyle name="Total 5 4 4 3 2" xfId="20258"/>
    <cellStyle name="Total 5 4 4 4" xfId="20259"/>
    <cellStyle name="Total 5 4 4 4 2" xfId="20260"/>
    <cellStyle name="Total 5 4 4 5" xfId="20261"/>
    <cellStyle name="Total 5 4 4 5 2" xfId="20262"/>
    <cellStyle name="Total 5 4 5" xfId="20263"/>
    <cellStyle name="Total 5 4 5 2" xfId="20264"/>
    <cellStyle name="Total 5 4 6" xfId="20265"/>
    <cellStyle name="Total 5 4 6 2" xfId="20266"/>
    <cellStyle name="Total 5 4 7" xfId="20267"/>
    <cellStyle name="Total 5 4 7 2" xfId="20268"/>
    <cellStyle name="Total 5 4 8" xfId="20269"/>
    <cellStyle name="Total 5 4 8 2" xfId="20270"/>
    <cellStyle name="Total 5 5" xfId="2783"/>
    <cellStyle name="Total 5 5 2" xfId="2784"/>
    <cellStyle name="Total 5 5 2 2" xfId="20271"/>
    <cellStyle name="Total 5 5 2 2 2" xfId="20272"/>
    <cellStyle name="Total 5 5 2 2 2 2" xfId="20273"/>
    <cellStyle name="Total 5 5 2 2 3" xfId="20274"/>
    <cellStyle name="Total 5 5 2 2 3 2" xfId="20275"/>
    <cellStyle name="Total 5 5 2 2 4" xfId="20276"/>
    <cellStyle name="Total 5 5 2 2 4 2" xfId="20277"/>
    <cellStyle name="Total 5 5 2 2 5" xfId="20278"/>
    <cellStyle name="Total 5 5 2 2 5 2" xfId="20279"/>
    <cellStyle name="Total 5 5 2 3" xfId="20280"/>
    <cellStyle name="Total 5 5 2 3 2" xfId="20281"/>
    <cellStyle name="Total 5 5 2 3 2 2" xfId="20282"/>
    <cellStyle name="Total 5 5 2 3 3" xfId="20283"/>
    <cellStyle name="Total 5 5 2 3 3 2" xfId="20284"/>
    <cellStyle name="Total 5 5 2 3 4" xfId="20285"/>
    <cellStyle name="Total 5 5 2 3 4 2" xfId="20286"/>
    <cellStyle name="Total 5 5 2 3 5" xfId="20287"/>
    <cellStyle name="Total 5 5 2 3 5 2" xfId="20288"/>
    <cellStyle name="Total 5 5 2 4" xfId="20289"/>
    <cellStyle name="Total 5 5 2 4 2" xfId="20290"/>
    <cellStyle name="Total 5 5 2 5" xfId="20291"/>
    <cellStyle name="Total 5 5 2 5 2" xfId="20292"/>
    <cellStyle name="Total 5 5 2 6" xfId="20293"/>
    <cellStyle name="Total 5 5 2 6 2" xfId="20294"/>
    <cellStyle name="Total 5 5 2 7" xfId="20295"/>
    <cellStyle name="Total 5 5 2 7 2" xfId="20296"/>
    <cellStyle name="Total 5 5 3" xfId="20297"/>
    <cellStyle name="Total 5 5 3 2" xfId="20298"/>
    <cellStyle name="Total 5 5 3 2 2" xfId="20299"/>
    <cellStyle name="Total 5 5 3 3" xfId="20300"/>
    <cellStyle name="Total 5 5 3 3 2" xfId="20301"/>
    <cellStyle name="Total 5 5 3 4" xfId="20302"/>
    <cellStyle name="Total 5 5 3 4 2" xfId="20303"/>
    <cellStyle name="Total 5 5 3 5" xfId="20304"/>
    <cellStyle name="Total 5 5 3 5 2" xfId="20305"/>
    <cellStyle name="Total 5 5 4" xfId="20306"/>
    <cellStyle name="Total 5 5 4 2" xfId="20307"/>
    <cellStyle name="Total 5 5 4 2 2" xfId="20308"/>
    <cellStyle name="Total 5 5 4 3" xfId="20309"/>
    <cellStyle name="Total 5 5 4 3 2" xfId="20310"/>
    <cellStyle name="Total 5 5 4 4" xfId="20311"/>
    <cellStyle name="Total 5 5 4 4 2" xfId="20312"/>
    <cellStyle name="Total 5 5 4 5" xfId="20313"/>
    <cellStyle name="Total 5 5 4 5 2" xfId="20314"/>
    <cellStyle name="Total 5 5 5" xfId="20315"/>
    <cellStyle name="Total 5 5 5 2" xfId="20316"/>
    <cellStyle name="Total 5 5 6" xfId="20317"/>
    <cellStyle name="Total 5 5 6 2" xfId="20318"/>
    <cellStyle name="Total 5 5 7" xfId="20319"/>
    <cellStyle name="Total 5 5 7 2" xfId="20320"/>
    <cellStyle name="Total 5 5 8" xfId="20321"/>
    <cellStyle name="Total 5 5 8 2" xfId="20322"/>
    <cellStyle name="Total 5 6" xfId="2785"/>
    <cellStyle name="Total 5 6 2" xfId="2786"/>
    <cellStyle name="Total 5 6 2 2" xfId="20323"/>
    <cellStyle name="Total 5 6 2 2 2" xfId="20324"/>
    <cellStyle name="Total 5 6 2 2 2 2" xfId="20325"/>
    <cellStyle name="Total 5 6 2 2 3" xfId="20326"/>
    <cellStyle name="Total 5 6 2 2 3 2" xfId="20327"/>
    <cellStyle name="Total 5 6 2 2 4" xfId="20328"/>
    <cellStyle name="Total 5 6 2 2 4 2" xfId="20329"/>
    <cellStyle name="Total 5 6 2 2 5" xfId="20330"/>
    <cellStyle name="Total 5 6 2 2 5 2" xfId="20331"/>
    <cellStyle name="Total 5 6 2 3" xfId="20332"/>
    <cellStyle name="Total 5 6 2 3 2" xfId="20333"/>
    <cellStyle name="Total 5 6 2 3 2 2" xfId="20334"/>
    <cellStyle name="Total 5 6 2 3 3" xfId="20335"/>
    <cellStyle name="Total 5 6 2 3 3 2" xfId="20336"/>
    <cellStyle name="Total 5 6 2 3 4" xfId="20337"/>
    <cellStyle name="Total 5 6 2 3 4 2" xfId="20338"/>
    <cellStyle name="Total 5 6 2 3 5" xfId="20339"/>
    <cellStyle name="Total 5 6 2 3 5 2" xfId="20340"/>
    <cellStyle name="Total 5 6 2 4" xfId="20341"/>
    <cellStyle name="Total 5 6 2 4 2" xfId="20342"/>
    <cellStyle name="Total 5 6 2 5" xfId="20343"/>
    <cellStyle name="Total 5 6 2 5 2" xfId="20344"/>
    <cellStyle name="Total 5 6 2 6" xfId="20345"/>
    <cellStyle name="Total 5 6 2 6 2" xfId="20346"/>
    <cellStyle name="Total 5 6 2 7" xfId="20347"/>
    <cellStyle name="Total 5 6 2 7 2" xfId="20348"/>
    <cellStyle name="Total 5 6 3" xfId="20349"/>
    <cellStyle name="Total 5 6 3 2" xfId="20350"/>
    <cellStyle name="Total 5 6 3 2 2" xfId="20351"/>
    <cellStyle name="Total 5 6 3 3" xfId="20352"/>
    <cellStyle name="Total 5 6 3 3 2" xfId="20353"/>
    <cellStyle name="Total 5 6 3 4" xfId="20354"/>
    <cellStyle name="Total 5 6 3 4 2" xfId="20355"/>
    <cellStyle name="Total 5 6 3 5" xfId="20356"/>
    <cellStyle name="Total 5 6 3 5 2" xfId="20357"/>
    <cellStyle name="Total 5 6 4" xfId="20358"/>
    <cellStyle name="Total 5 6 4 2" xfId="20359"/>
    <cellStyle name="Total 5 6 4 2 2" xfId="20360"/>
    <cellStyle name="Total 5 6 4 3" xfId="20361"/>
    <cellStyle name="Total 5 6 4 3 2" xfId="20362"/>
    <cellStyle name="Total 5 6 4 4" xfId="20363"/>
    <cellStyle name="Total 5 6 4 4 2" xfId="20364"/>
    <cellStyle name="Total 5 6 4 5" xfId="20365"/>
    <cellStyle name="Total 5 6 4 5 2" xfId="20366"/>
    <cellStyle name="Total 5 6 5" xfId="20367"/>
    <cellStyle name="Total 5 6 5 2" xfId="20368"/>
    <cellStyle name="Total 5 6 6" xfId="20369"/>
    <cellStyle name="Total 5 6 6 2" xfId="20370"/>
    <cellStyle name="Total 5 6 7" xfId="20371"/>
    <cellStyle name="Total 5 6 7 2" xfId="20372"/>
    <cellStyle name="Total 5 6 8" xfId="20373"/>
    <cellStyle name="Total 5 6 8 2" xfId="20374"/>
    <cellStyle name="Total 5 7" xfId="2787"/>
    <cellStyle name="Total 5 7 2" xfId="20375"/>
    <cellStyle name="Total 5 7 2 2" xfId="20376"/>
    <cellStyle name="Total 5 7 2 2 2" xfId="20377"/>
    <cellStyle name="Total 5 7 2 3" xfId="20378"/>
    <cellStyle name="Total 5 7 2 3 2" xfId="20379"/>
    <cellStyle name="Total 5 7 2 4" xfId="20380"/>
    <cellStyle name="Total 5 7 2 4 2" xfId="20381"/>
    <cellStyle name="Total 5 7 2 5" xfId="20382"/>
    <cellStyle name="Total 5 7 2 5 2" xfId="20383"/>
    <cellStyle name="Total 5 7 3" xfId="20384"/>
    <cellStyle name="Total 5 7 3 2" xfId="20385"/>
    <cellStyle name="Total 5 7 3 2 2" xfId="20386"/>
    <cellStyle name="Total 5 7 3 3" xfId="20387"/>
    <cellStyle name="Total 5 7 3 3 2" xfId="20388"/>
    <cellStyle name="Total 5 7 3 4" xfId="20389"/>
    <cellStyle name="Total 5 7 3 4 2" xfId="20390"/>
    <cellStyle name="Total 5 7 3 5" xfId="20391"/>
    <cellStyle name="Total 5 7 3 5 2" xfId="20392"/>
    <cellStyle name="Total 5 7 4" xfId="20393"/>
    <cellStyle name="Total 5 7 4 2" xfId="20394"/>
    <cellStyle name="Total 5 7 5" xfId="20395"/>
    <cellStyle name="Total 5 7 5 2" xfId="20396"/>
    <cellStyle name="Total 5 7 6" xfId="20397"/>
    <cellStyle name="Total 5 7 6 2" xfId="20398"/>
    <cellStyle name="Total 5 7 7" xfId="20399"/>
    <cellStyle name="Total 5 7 7 2" xfId="20400"/>
    <cellStyle name="Total 5 8" xfId="20401"/>
    <cellStyle name="Total 5 8 2" xfId="20402"/>
    <cellStyle name="Total 5 8 2 2" xfId="20403"/>
    <cellStyle name="Total 5 8 3" xfId="20404"/>
    <cellStyle name="Total 5 8 3 2" xfId="20405"/>
    <cellStyle name="Total 5 8 4" xfId="20406"/>
    <cellStyle name="Total 5 8 4 2" xfId="20407"/>
    <cellStyle name="Total 5 8 5" xfId="20408"/>
    <cellStyle name="Total 5 8 5 2" xfId="20409"/>
    <cellStyle name="Total 5 9" xfId="20410"/>
    <cellStyle name="Total 5 9 2" xfId="20411"/>
    <cellStyle name="Total 5 9 2 2" xfId="20412"/>
    <cellStyle name="Total 5 9 3" xfId="20413"/>
    <cellStyle name="Total 5 9 3 2" xfId="20414"/>
    <cellStyle name="Total 5 9 4" xfId="20415"/>
    <cellStyle name="Total 5 9 4 2" xfId="20416"/>
    <cellStyle name="Total 5 9 5" xfId="20417"/>
    <cellStyle name="Total 5 9 5 2" xfId="20418"/>
    <cellStyle name="Total 6" xfId="1995"/>
    <cellStyle name="Total 6 2" xfId="20419"/>
    <cellStyle name="Total 6 2 2" xfId="20420"/>
    <cellStyle name="Total 6 2 2 2" xfId="20421"/>
    <cellStyle name="Total 6 2 3" xfId="20422"/>
    <cellStyle name="Total 6 2 3 2" xfId="20423"/>
    <cellStyle name="Total 6 2 4" xfId="20424"/>
    <cellStyle name="Total 6 2 4 2" xfId="20425"/>
    <cellStyle name="Total 6 2 5" xfId="20426"/>
    <cellStyle name="Total 6 2 5 2" xfId="20427"/>
    <cellStyle name="Total 6 3" xfId="20428"/>
    <cellStyle name="Total 6 3 2" xfId="20429"/>
    <cellStyle name="Total 6 3 2 2" xfId="20430"/>
    <cellStyle name="Total 6 3 3" xfId="20431"/>
    <cellStyle name="Total 6 3 3 2" xfId="20432"/>
    <cellStyle name="Total 6 3 4" xfId="20433"/>
    <cellStyle name="Total 6 3 4 2" xfId="20434"/>
    <cellStyle name="Total 6 3 5" xfId="20435"/>
    <cellStyle name="Total 6 3 5 2" xfId="20436"/>
    <cellStyle name="Total 6 4" xfId="20437"/>
    <cellStyle name="Total 6 4 2" xfId="20438"/>
    <cellStyle name="Total 6 5" xfId="20439"/>
    <cellStyle name="Total 6 5 2" xfId="20440"/>
    <cellStyle name="Total 6 6" xfId="20441"/>
    <cellStyle name="Total 6 6 2" xfId="20442"/>
    <cellStyle name="Total 6 7" xfId="20443"/>
    <cellStyle name="Total 6 7 2" xfId="20444"/>
    <cellStyle name="Total 7" xfId="1996"/>
    <cellStyle name="Total 7 2" xfId="20445"/>
    <cellStyle name="Total 7 2 2" xfId="20446"/>
    <cellStyle name="Total 7 2 2 2" xfId="20447"/>
    <cellStyle name="Total 7 2 3" xfId="20448"/>
    <cellStyle name="Total 7 2 3 2" xfId="20449"/>
    <cellStyle name="Total 7 2 4" xfId="20450"/>
    <cellStyle name="Total 7 2 4 2" xfId="20451"/>
    <cellStyle name="Total 7 2 5" xfId="20452"/>
    <cellStyle name="Total 7 2 5 2" xfId="20453"/>
    <cellStyle name="Total 7 3" xfId="20454"/>
    <cellStyle name="Total 7 3 2" xfId="20455"/>
    <cellStyle name="Total 7 3 2 2" xfId="20456"/>
    <cellStyle name="Total 7 3 3" xfId="20457"/>
    <cellStyle name="Total 7 3 3 2" xfId="20458"/>
    <cellStyle name="Total 7 3 4" xfId="20459"/>
    <cellStyle name="Total 7 3 4 2" xfId="20460"/>
    <cellStyle name="Total 7 3 5" xfId="20461"/>
    <cellStyle name="Total 7 3 5 2" xfId="20462"/>
    <cellStyle name="Total 7 4" xfId="20463"/>
    <cellStyle name="Total 7 4 2" xfId="20464"/>
    <cellStyle name="Total 7 5" xfId="20465"/>
    <cellStyle name="Total 7 5 2" xfId="20466"/>
    <cellStyle name="Total 7 6" xfId="20467"/>
    <cellStyle name="Total 7 6 2" xfId="20468"/>
    <cellStyle name="Total 7 7" xfId="20469"/>
    <cellStyle name="Total 7 7 2" xfId="20470"/>
    <cellStyle name="Total 8" xfId="1997"/>
    <cellStyle name="Total 8 2" xfId="20471"/>
    <cellStyle name="Total 8 2 2" xfId="20472"/>
    <cellStyle name="Total 8 2 2 2" xfId="20473"/>
    <cellStyle name="Total 8 2 3" xfId="20474"/>
    <cellStyle name="Total 8 2 3 2" xfId="20475"/>
    <cellStyle name="Total 8 2 4" xfId="20476"/>
    <cellStyle name="Total 8 2 4 2" xfId="20477"/>
    <cellStyle name="Total 8 2 5" xfId="20478"/>
    <cellStyle name="Total 8 2 5 2" xfId="20479"/>
    <cellStyle name="Total 8 3" xfId="20480"/>
    <cellStyle name="Total 8 3 2" xfId="20481"/>
    <cellStyle name="Total 8 3 2 2" xfId="20482"/>
    <cellStyle name="Total 8 3 3" xfId="20483"/>
    <cellStyle name="Total 8 3 3 2" xfId="20484"/>
    <cellStyle name="Total 8 3 4" xfId="20485"/>
    <cellStyle name="Total 8 3 4 2" xfId="20486"/>
    <cellStyle name="Total 8 3 5" xfId="20487"/>
    <cellStyle name="Total 8 3 5 2" xfId="20488"/>
    <cellStyle name="Total 8 4" xfId="20489"/>
    <cellStyle name="Total 8 4 2" xfId="20490"/>
    <cellStyle name="Total 8 5" xfId="20491"/>
    <cellStyle name="Total 8 5 2" xfId="20492"/>
    <cellStyle name="Total 8 6" xfId="20493"/>
    <cellStyle name="Total 8 6 2" xfId="20494"/>
    <cellStyle name="Total 8 7" xfId="20495"/>
    <cellStyle name="Total 8 7 2" xfId="20496"/>
    <cellStyle name="Total 9" xfId="1998"/>
    <cellStyle name="Total 9 2" xfId="20497"/>
    <cellStyle name="Total 9 2 2" xfId="20498"/>
    <cellStyle name="Total 9 2 2 2" xfId="20499"/>
    <cellStyle name="Total 9 2 3" xfId="20500"/>
    <cellStyle name="Total 9 2 3 2" xfId="20501"/>
    <cellStyle name="Total 9 2 4" xfId="20502"/>
    <cellStyle name="Total 9 2 4 2" xfId="20503"/>
    <cellStyle name="Total 9 2 5" xfId="20504"/>
    <cellStyle name="Total 9 2 5 2" xfId="20505"/>
    <cellStyle name="Total 9 3" xfId="20506"/>
    <cellStyle name="Total 9 3 2" xfId="20507"/>
    <cellStyle name="Total 9 3 2 2" xfId="20508"/>
    <cellStyle name="Total 9 3 3" xfId="20509"/>
    <cellStyle name="Total 9 3 3 2" xfId="20510"/>
    <cellStyle name="Total 9 3 4" xfId="20511"/>
    <cellStyle name="Total 9 3 4 2" xfId="20512"/>
    <cellStyle name="Total 9 3 5" xfId="20513"/>
    <cellStyle name="Total 9 3 5 2" xfId="20514"/>
    <cellStyle name="Total 9 4" xfId="20515"/>
    <cellStyle name="Total 9 4 2" xfId="20516"/>
    <cellStyle name="Total 9 5" xfId="20517"/>
    <cellStyle name="Total 9 5 2" xfId="20518"/>
    <cellStyle name="Total 9 6" xfId="20519"/>
    <cellStyle name="Total 9 6 2" xfId="20520"/>
    <cellStyle name="Total 9 7" xfId="20521"/>
    <cellStyle name="Total 9 7 2" xfId="20522"/>
    <cellStyle name="totalbalan" xfId="20523"/>
    <cellStyle name="Última Linha Tabela" xfId="20524"/>
    <cellStyle name="UnderLine" xfId="2788"/>
    <cellStyle name="UnderLine 2" xfId="20525"/>
    <cellStyle name="Unidade (abaixo do título)" xfId="20526"/>
    <cellStyle name="Vírgula 10" xfId="20527"/>
    <cellStyle name="Vírgula 10 2" xfId="20528"/>
    <cellStyle name="Vírgula 11" xfId="20529"/>
    <cellStyle name="Vírgula 2" xfId="1999"/>
    <cellStyle name="Vírgula 2 2" xfId="2789"/>
    <cellStyle name="Vírgula 2 2 2" xfId="20530"/>
    <cellStyle name="Vírgula 2 2 2 2" xfId="20531"/>
    <cellStyle name="Vírgula 2 2 3" xfId="20532"/>
    <cellStyle name="Vírgula 2 3" xfId="2790"/>
    <cellStyle name="Vírgula 2 3 2" xfId="20533"/>
    <cellStyle name="Vírgula 2 3 2 2" xfId="20534"/>
    <cellStyle name="Vírgula 2 3 3" xfId="20535"/>
    <cellStyle name="Vírgula 2 3 3 2" xfId="20536"/>
    <cellStyle name="Vírgula 2 3 4" xfId="20537"/>
    <cellStyle name="Vírgula 2 4" xfId="20538"/>
    <cellStyle name="Vírgula 2 4 2" xfId="20539"/>
    <cellStyle name="Vírgula 2 5" xfId="20540"/>
    <cellStyle name="Vírgula 2 5 2" xfId="20541"/>
    <cellStyle name="Vírgula 2 6" xfId="20542"/>
    <cellStyle name="Vírgula 3" xfId="2791"/>
    <cellStyle name="Vírgula 3 2" xfId="2792"/>
    <cellStyle name="Vírgula 3 2 2" xfId="20543"/>
    <cellStyle name="Vírgula 3 2 2 2" xfId="20544"/>
    <cellStyle name="Vírgula 3 2 3" xfId="20545"/>
    <cellStyle name="Vírgula 3 3" xfId="2793"/>
    <cellStyle name="Vírgula 3 3 2" xfId="20546"/>
    <cellStyle name="Vírgula 3 3 2 2" xfId="20547"/>
    <cellStyle name="Vírgula 3 3 3" xfId="20548"/>
    <cellStyle name="Vírgula 3 4" xfId="20549"/>
    <cellStyle name="Vírgula 3 4 2" xfId="20550"/>
    <cellStyle name="Vírgula 3 5" xfId="20551"/>
    <cellStyle name="Vírgula 3 5 2" xfId="20552"/>
    <cellStyle name="Vírgula 3 6" xfId="20553"/>
    <cellStyle name="Vírgula 4" xfId="2794"/>
    <cellStyle name="Vírgula 4 2" xfId="2795"/>
    <cellStyle name="Vírgula 4 2 2" xfId="20554"/>
    <cellStyle name="Vírgula 4 2 2 2" xfId="20555"/>
    <cellStyle name="Vírgula 4 2 3" xfId="20556"/>
    <cellStyle name="Vírgula 4 3" xfId="20557"/>
    <cellStyle name="Vírgula 4 3 2" xfId="20558"/>
    <cellStyle name="Vírgula 4 4" xfId="20559"/>
    <cellStyle name="Vírgula 4 4 2" xfId="20560"/>
    <cellStyle name="Vírgula 4 5" xfId="20561"/>
    <cellStyle name="Vírgula 5" xfId="20562"/>
    <cellStyle name="Vírgula 5 2" xfId="20563"/>
    <cellStyle name="Vírgula 6" xfId="20564"/>
    <cellStyle name="Vírgula 6 2" xfId="20565"/>
    <cellStyle name="Vírgula 7" xfId="20566"/>
    <cellStyle name="Vírgula 8" xfId="20567"/>
    <cellStyle name="Vírgula 9" xfId="20568"/>
    <cellStyle name="Währung [0]_44" xfId="20569"/>
    <cellStyle name="Währung_44" xfId="20570"/>
    <cellStyle name="Warning Text" xfId="2000"/>
    <cellStyle name="Warning Text 2" xfId="20571"/>
    <cellStyle name="Warning Text 3" xfId="20572"/>
    <cellStyle name="Warning Text 4" xfId="20573"/>
    <cellStyle name="years" xfId="2796"/>
    <cellStyle name="zeroifsmall" xfId="2001"/>
  </cellStyles>
  <dxfs count="2">
    <dxf>
      <border>
        <lef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006635"/>
      <color rgb="FF006600"/>
      <color rgb="FFFBF50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2">
  <dgm:title val=""/>
  <dgm:desc val=""/>
  <dgm:catLst>
    <dgm:cat type="mainScheme" pri="10200"/>
  </dgm:catLst>
  <dgm:styleLbl name="node0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lign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ln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2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3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4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fg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2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3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4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conF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align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trAlignAcc1">
    <dgm:fillClrLst meth="repeat">
      <a:schemeClr val="dk2">
        <a:alpha val="4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b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Fg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Align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Bg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fgAcc0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2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3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4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1"/>
    </dgm:linClrLst>
    <dgm:effectClrLst/>
    <dgm:txLinClrLst/>
    <dgm:txFillClrLst meth="repeat">
      <a:schemeClr val="dk2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2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53CF394-4C4E-448C-BF33-F25CF7415AC0}" type="doc">
      <dgm:prSet loTypeId="urn:microsoft.com/office/officeart/2005/8/layout/orgChart1" loCatId="hierarchy" qsTypeId="urn:microsoft.com/office/officeart/2005/8/quickstyle/simple3" qsCatId="simple" csTypeId="urn:microsoft.com/office/officeart/2005/8/colors/accent0_2" csCatId="mainScheme" phldr="1"/>
      <dgm:spPr/>
      <dgm:t>
        <a:bodyPr/>
        <a:lstStyle/>
        <a:p>
          <a:endParaRPr lang="pt-BR"/>
        </a:p>
      </dgm:t>
    </dgm:pt>
    <dgm:pt modelId="{C1F87379-3419-47DD-9C22-154ADE21A570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75D1E41D-4CB2-4D1F-A5DE-37E84A2E9050}" type="parTrans" cxnId="{619E9DBC-878C-48E0-98DC-ACB5A6E80731}">
      <dgm:prSet/>
      <dgm:spPr/>
      <dgm:t>
        <a:bodyPr/>
        <a:lstStyle/>
        <a:p>
          <a:endParaRPr lang="pt-BR" sz="1100" b="0">
            <a:solidFill>
              <a:sysClr val="windowText" lastClr="000000"/>
            </a:solidFill>
          </a:endParaRPr>
        </a:p>
      </dgm:t>
    </dgm:pt>
    <dgm:pt modelId="{7BE0BE71-76C7-42B5-A3EF-B2375878A45B}" type="sibTrans" cxnId="{619E9DBC-878C-48E0-98DC-ACB5A6E80731}">
      <dgm:prSet/>
      <dgm:spPr/>
      <dgm:t>
        <a:bodyPr/>
        <a:lstStyle/>
        <a:p>
          <a:endParaRPr lang="pt-BR" sz="1100" b="0">
            <a:solidFill>
              <a:sysClr val="windowText" lastClr="000000"/>
            </a:solidFill>
          </a:endParaRPr>
        </a:p>
      </dgm:t>
    </dgm:pt>
    <dgm:pt modelId="{489A4EB8-0A01-4ADB-88EC-2EDAC808AE46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FE7267F3-9917-46F2-AC5A-CE75FBE8D0FC}" type="parTrans" cxnId="{3D85F4D4-ECF7-4223-8936-7227D19B9A4D}">
      <dgm:prSet/>
      <dgm:spPr/>
      <dgm:t>
        <a:bodyPr/>
        <a:lstStyle/>
        <a:p>
          <a:endParaRPr lang="pt-BR"/>
        </a:p>
      </dgm:t>
    </dgm:pt>
    <dgm:pt modelId="{795302FC-1F30-485E-8FD2-7034CEBA911E}" type="sibTrans" cxnId="{3D85F4D4-ECF7-4223-8936-7227D19B9A4D}">
      <dgm:prSet/>
      <dgm:spPr/>
      <dgm:t>
        <a:bodyPr/>
        <a:lstStyle/>
        <a:p>
          <a:endParaRPr lang="pt-BR"/>
        </a:p>
      </dgm:t>
    </dgm:pt>
    <dgm:pt modelId="{5178B50F-027E-4F85-8B55-33FD23890215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4DCF6585-C2FE-47AD-A5A9-E2DC458C79F4}" type="parTrans" cxnId="{B5C7C4EB-B78C-4EAC-90FB-F408F73521E6}">
      <dgm:prSet/>
      <dgm:spPr/>
      <dgm:t>
        <a:bodyPr/>
        <a:lstStyle/>
        <a:p>
          <a:endParaRPr lang="pt-BR"/>
        </a:p>
      </dgm:t>
    </dgm:pt>
    <dgm:pt modelId="{585E04CA-22F9-45B9-87C2-1C3BB9D88328}" type="sibTrans" cxnId="{B5C7C4EB-B78C-4EAC-90FB-F408F73521E6}">
      <dgm:prSet/>
      <dgm:spPr/>
      <dgm:t>
        <a:bodyPr/>
        <a:lstStyle/>
        <a:p>
          <a:endParaRPr lang="pt-BR"/>
        </a:p>
      </dgm:t>
    </dgm:pt>
    <dgm:pt modelId="{A8108374-3CBF-4FCF-8BB3-01FD03611003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461D3ADF-F508-4872-8F22-29DF522E42CE}" type="parTrans" cxnId="{6A2510F9-B844-4C20-8862-A94D71DB0646}">
      <dgm:prSet/>
      <dgm:spPr/>
      <dgm:t>
        <a:bodyPr/>
        <a:lstStyle/>
        <a:p>
          <a:endParaRPr lang="pt-BR"/>
        </a:p>
      </dgm:t>
    </dgm:pt>
    <dgm:pt modelId="{83A28B77-AAAF-49A2-8562-D66F99BD4BE4}" type="sibTrans" cxnId="{6A2510F9-B844-4C20-8862-A94D71DB0646}">
      <dgm:prSet/>
      <dgm:spPr/>
      <dgm:t>
        <a:bodyPr/>
        <a:lstStyle/>
        <a:p>
          <a:endParaRPr lang="pt-BR"/>
        </a:p>
      </dgm:t>
    </dgm:pt>
    <dgm:pt modelId="{A2720F96-1AED-4F58-BEE1-483E87A5C9D7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F243E7D0-2CF1-4722-96C7-C7D82CBA45B8}" type="parTrans" cxnId="{04FE765C-84E8-414B-9398-0E349850911C}">
      <dgm:prSet/>
      <dgm:spPr/>
      <dgm:t>
        <a:bodyPr/>
        <a:lstStyle/>
        <a:p>
          <a:endParaRPr lang="pt-BR"/>
        </a:p>
      </dgm:t>
    </dgm:pt>
    <dgm:pt modelId="{7F38EA85-BCDB-4CE5-BFFC-176746E3973C}" type="sibTrans" cxnId="{04FE765C-84E8-414B-9398-0E349850911C}">
      <dgm:prSet/>
      <dgm:spPr/>
      <dgm:t>
        <a:bodyPr/>
        <a:lstStyle/>
        <a:p>
          <a:endParaRPr lang="pt-BR"/>
        </a:p>
      </dgm:t>
    </dgm:pt>
    <dgm:pt modelId="{021A38B0-1003-4604-9407-A909D64A63AD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1C37F14F-E209-4395-8ED3-81EC036F5164}" type="parTrans" cxnId="{5E672745-B7EB-4D7A-A332-0137C942C245}">
      <dgm:prSet/>
      <dgm:spPr/>
      <dgm:t>
        <a:bodyPr/>
        <a:lstStyle/>
        <a:p>
          <a:endParaRPr lang="pt-BR"/>
        </a:p>
      </dgm:t>
    </dgm:pt>
    <dgm:pt modelId="{E1797618-95E5-4840-8BB6-5927C910DCA2}" type="sibTrans" cxnId="{5E672745-B7EB-4D7A-A332-0137C942C245}">
      <dgm:prSet/>
      <dgm:spPr/>
      <dgm:t>
        <a:bodyPr/>
        <a:lstStyle/>
        <a:p>
          <a:endParaRPr lang="pt-BR"/>
        </a:p>
      </dgm:t>
    </dgm:pt>
    <dgm:pt modelId="{616B2EED-0DD0-4507-940E-10631C16E036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713EE879-CAA2-44A2-86EA-606B8815EF51}" type="parTrans" cxnId="{1B2E7562-FCD5-4EC6-B95D-75722CDAA49B}">
      <dgm:prSet/>
      <dgm:spPr/>
      <dgm:t>
        <a:bodyPr/>
        <a:lstStyle/>
        <a:p>
          <a:endParaRPr lang="pt-BR"/>
        </a:p>
      </dgm:t>
    </dgm:pt>
    <dgm:pt modelId="{D7BDCF37-50D4-44A2-A0A4-97C4D0149897}" type="sibTrans" cxnId="{1B2E7562-FCD5-4EC6-B95D-75722CDAA49B}">
      <dgm:prSet/>
      <dgm:spPr/>
      <dgm:t>
        <a:bodyPr/>
        <a:lstStyle/>
        <a:p>
          <a:endParaRPr lang="pt-BR"/>
        </a:p>
      </dgm:t>
    </dgm:pt>
    <dgm:pt modelId="{D65EF279-C846-4517-A4BC-E9EA68F43CE6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976A7579-FB54-4275-A797-C307E86D0A7F}" type="parTrans" cxnId="{899298E2-9945-463F-95D9-72CEFD73C07C}">
      <dgm:prSet/>
      <dgm:spPr/>
      <dgm:t>
        <a:bodyPr/>
        <a:lstStyle/>
        <a:p>
          <a:endParaRPr lang="pt-BR"/>
        </a:p>
      </dgm:t>
    </dgm:pt>
    <dgm:pt modelId="{5C8CFAE6-A4D8-424E-BC32-57BCD998A835}" type="sibTrans" cxnId="{899298E2-9945-463F-95D9-72CEFD73C07C}">
      <dgm:prSet/>
      <dgm:spPr/>
      <dgm:t>
        <a:bodyPr/>
        <a:lstStyle/>
        <a:p>
          <a:endParaRPr lang="pt-BR"/>
        </a:p>
      </dgm:t>
    </dgm:pt>
    <dgm:pt modelId="{9ED31AD2-5909-4BE7-A860-342AA9712C1A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2CEFBEE8-294F-4EFE-B90C-3DE3671DD2A0}" type="sibTrans" cxnId="{B6B3F789-27EC-486F-8B4A-87DC287015D0}">
      <dgm:prSet/>
      <dgm:spPr/>
      <dgm:t>
        <a:bodyPr/>
        <a:lstStyle/>
        <a:p>
          <a:endParaRPr lang="pt-BR" sz="1100" b="0">
            <a:solidFill>
              <a:sysClr val="windowText" lastClr="000000"/>
            </a:solidFill>
          </a:endParaRPr>
        </a:p>
      </dgm:t>
    </dgm:pt>
    <dgm:pt modelId="{64F8F326-796D-4931-B8FD-DCF258645713}" type="parTrans" cxnId="{B6B3F789-27EC-486F-8B4A-87DC287015D0}">
      <dgm:prSet/>
      <dgm:spPr/>
      <dgm:t>
        <a:bodyPr/>
        <a:lstStyle/>
        <a:p>
          <a:endParaRPr lang="pt-BR" sz="1100" b="0">
            <a:solidFill>
              <a:sysClr val="windowText" lastClr="000000"/>
            </a:solidFill>
          </a:endParaRPr>
        </a:p>
      </dgm:t>
    </dgm:pt>
    <dgm:pt modelId="{50B7E000-AA74-4253-8F9F-37B2F5666F99}">
      <dgm:prSet phldrT="[Texto]" custT="1"/>
      <dgm:spPr/>
      <dgm:t>
        <a:bodyPr/>
        <a:lstStyle/>
        <a:p>
          <a:endParaRPr lang="pt-BR" sz="1200" b="0">
            <a:solidFill>
              <a:sysClr val="windowText" lastClr="000000"/>
            </a:solidFill>
          </a:endParaRPr>
        </a:p>
      </dgm:t>
    </dgm:pt>
    <dgm:pt modelId="{10CE414D-4048-47E4-820A-A805A91349D6}" type="sibTrans" cxnId="{2ED4BFC1-0D0C-472B-9EC5-10944A391B24}">
      <dgm:prSet/>
      <dgm:spPr/>
      <dgm:t>
        <a:bodyPr/>
        <a:lstStyle/>
        <a:p>
          <a:endParaRPr lang="pt-BR"/>
        </a:p>
      </dgm:t>
    </dgm:pt>
    <dgm:pt modelId="{7AA6C0CC-3722-4C60-AB31-EF08B25DD66E}" type="parTrans" cxnId="{2ED4BFC1-0D0C-472B-9EC5-10944A391B24}">
      <dgm:prSet/>
      <dgm:spPr/>
      <dgm:t>
        <a:bodyPr/>
        <a:lstStyle/>
        <a:p>
          <a:endParaRPr lang="pt-BR"/>
        </a:p>
      </dgm:t>
    </dgm:pt>
    <dgm:pt modelId="{53430193-23D6-472F-BC2B-0B957C61D0FD}" type="pres">
      <dgm:prSet presAssocID="{A53CF394-4C4E-448C-BF33-F25CF7415AC0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3E193A4A-2C01-4CD9-9E50-508A3620DECA}" type="pres">
      <dgm:prSet presAssocID="{C1F87379-3419-47DD-9C22-154ADE21A570}" presName="hierRoot1" presStyleCnt="0">
        <dgm:presLayoutVars>
          <dgm:hierBranch val="init"/>
        </dgm:presLayoutVars>
      </dgm:prSet>
      <dgm:spPr/>
    </dgm:pt>
    <dgm:pt modelId="{51103296-8714-490E-BB2B-EFFA13F3E4BF}" type="pres">
      <dgm:prSet presAssocID="{C1F87379-3419-47DD-9C22-154ADE21A570}" presName="rootComposite1" presStyleCnt="0"/>
      <dgm:spPr/>
    </dgm:pt>
    <dgm:pt modelId="{443490F6-6064-45AB-879C-E1C777D19117}" type="pres">
      <dgm:prSet presAssocID="{C1F87379-3419-47DD-9C22-154ADE21A570}" presName="rootText1" presStyleLbl="node0" presStyleIdx="0" presStyleCnt="1" custLinFactNeighborX="-3654" custLinFactNeighborY="-1023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7366304-D8AE-4006-B609-CEB6503C8747}" type="pres">
      <dgm:prSet presAssocID="{C1F87379-3419-47DD-9C22-154ADE21A570}" presName="rootConnector1" presStyleLbl="node1" presStyleIdx="0" presStyleCnt="0"/>
      <dgm:spPr/>
      <dgm:t>
        <a:bodyPr/>
        <a:lstStyle/>
        <a:p>
          <a:endParaRPr lang="pt-BR"/>
        </a:p>
      </dgm:t>
    </dgm:pt>
    <dgm:pt modelId="{388885B8-491B-460E-BD02-388AD088F5B2}" type="pres">
      <dgm:prSet presAssocID="{C1F87379-3419-47DD-9C22-154ADE21A570}" presName="hierChild2" presStyleCnt="0"/>
      <dgm:spPr/>
    </dgm:pt>
    <dgm:pt modelId="{8EB8623E-C131-493F-AB9E-8DFE1F0CF94F}" type="pres">
      <dgm:prSet presAssocID="{64F8F326-796D-4931-B8FD-DCF258645713}" presName="Name37" presStyleLbl="parChTrans1D2" presStyleIdx="0" presStyleCnt="5"/>
      <dgm:spPr/>
      <dgm:t>
        <a:bodyPr/>
        <a:lstStyle/>
        <a:p>
          <a:endParaRPr lang="pt-BR"/>
        </a:p>
      </dgm:t>
    </dgm:pt>
    <dgm:pt modelId="{BDB1FEB6-0A74-427E-AEB0-43A48DCA68C6}" type="pres">
      <dgm:prSet presAssocID="{9ED31AD2-5909-4BE7-A860-342AA9712C1A}" presName="hierRoot2" presStyleCnt="0">
        <dgm:presLayoutVars>
          <dgm:hierBranch val="init"/>
        </dgm:presLayoutVars>
      </dgm:prSet>
      <dgm:spPr/>
    </dgm:pt>
    <dgm:pt modelId="{A61AD6FB-C70D-402E-866C-AA7314F9C7AA}" type="pres">
      <dgm:prSet presAssocID="{9ED31AD2-5909-4BE7-A860-342AA9712C1A}" presName="rootComposite" presStyleCnt="0"/>
      <dgm:spPr/>
    </dgm:pt>
    <dgm:pt modelId="{4F8007BD-741A-480B-986F-1E5147BCC3D0}" type="pres">
      <dgm:prSet presAssocID="{9ED31AD2-5909-4BE7-A860-342AA9712C1A}" presName="rootText" presStyleLbl="node2" presStyleIdx="0" presStyleCnt="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E629465C-6090-43C2-A630-C1A9864F05CA}" type="pres">
      <dgm:prSet presAssocID="{9ED31AD2-5909-4BE7-A860-342AA9712C1A}" presName="rootConnector" presStyleLbl="node2" presStyleIdx="0" presStyleCnt="5"/>
      <dgm:spPr/>
      <dgm:t>
        <a:bodyPr/>
        <a:lstStyle/>
        <a:p>
          <a:endParaRPr lang="pt-BR"/>
        </a:p>
      </dgm:t>
    </dgm:pt>
    <dgm:pt modelId="{DE187D6C-6A5E-45B0-B480-564191415008}" type="pres">
      <dgm:prSet presAssocID="{9ED31AD2-5909-4BE7-A860-342AA9712C1A}" presName="hierChild4" presStyleCnt="0"/>
      <dgm:spPr/>
    </dgm:pt>
    <dgm:pt modelId="{D2EC1EA8-A4C7-40F7-9656-FF8BD5BB56F5}" type="pres">
      <dgm:prSet presAssocID="{FE7267F3-9917-46F2-AC5A-CE75FBE8D0FC}" presName="Name37" presStyleLbl="parChTrans1D3" presStyleIdx="0" presStyleCnt="4"/>
      <dgm:spPr/>
      <dgm:t>
        <a:bodyPr/>
        <a:lstStyle/>
        <a:p>
          <a:endParaRPr lang="pt-BR"/>
        </a:p>
      </dgm:t>
    </dgm:pt>
    <dgm:pt modelId="{8A14CA95-F763-4032-A4CF-49C5D37D91D5}" type="pres">
      <dgm:prSet presAssocID="{489A4EB8-0A01-4ADB-88EC-2EDAC808AE46}" presName="hierRoot2" presStyleCnt="0">
        <dgm:presLayoutVars>
          <dgm:hierBranch val="init"/>
        </dgm:presLayoutVars>
      </dgm:prSet>
      <dgm:spPr/>
    </dgm:pt>
    <dgm:pt modelId="{6D1F80B1-247D-49E8-B697-A14AFEF4B473}" type="pres">
      <dgm:prSet presAssocID="{489A4EB8-0A01-4ADB-88EC-2EDAC808AE46}" presName="rootComposite" presStyleCnt="0"/>
      <dgm:spPr/>
    </dgm:pt>
    <dgm:pt modelId="{0A52C866-ADF2-44FC-B2F1-67CA107372D9}" type="pres">
      <dgm:prSet presAssocID="{489A4EB8-0A01-4ADB-88EC-2EDAC808AE46}" presName="rootText" presStyleLbl="node3" presStyleIdx="0" presStyleCnt="4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0A06D1AD-5B94-4E2A-885B-9C4F943B769D}" type="pres">
      <dgm:prSet presAssocID="{489A4EB8-0A01-4ADB-88EC-2EDAC808AE46}" presName="rootConnector" presStyleLbl="node3" presStyleIdx="0" presStyleCnt="4"/>
      <dgm:spPr/>
      <dgm:t>
        <a:bodyPr/>
        <a:lstStyle/>
        <a:p>
          <a:endParaRPr lang="pt-BR"/>
        </a:p>
      </dgm:t>
    </dgm:pt>
    <dgm:pt modelId="{D77B5DB8-E448-411C-AD49-D59F07DBBCA8}" type="pres">
      <dgm:prSet presAssocID="{489A4EB8-0A01-4ADB-88EC-2EDAC808AE46}" presName="hierChild4" presStyleCnt="0"/>
      <dgm:spPr/>
    </dgm:pt>
    <dgm:pt modelId="{C046ABE8-FCC7-4FF5-93D1-E368F762C229}" type="pres">
      <dgm:prSet presAssocID="{489A4EB8-0A01-4ADB-88EC-2EDAC808AE46}" presName="hierChild5" presStyleCnt="0"/>
      <dgm:spPr/>
    </dgm:pt>
    <dgm:pt modelId="{D3843859-D1F7-4BB3-AB06-CF269CAE0D60}" type="pres">
      <dgm:prSet presAssocID="{9ED31AD2-5909-4BE7-A860-342AA9712C1A}" presName="hierChild5" presStyleCnt="0"/>
      <dgm:spPr/>
    </dgm:pt>
    <dgm:pt modelId="{774E4198-E6C3-461A-8D9B-4B11CEB2525C}" type="pres">
      <dgm:prSet presAssocID="{7AA6C0CC-3722-4C60-AB31-EF08B25DD66E}" presName="Name37" presStyleLbl="parChTrans1D2" presStyleIdx="1" presStyleCnt="5"/>
      <dgm:spPr/>
      <dgm:t>
        <a:bodyPr/>
        <a:lstStyle/>
        <a:p>
          <a:endParaRPr lang="pt-BR"/>
        </a:p>
      </dgm:t>
    </dgm:pt>
    <dgm:pt modelId="{49C00371-9B63-4AD4-AA1A-31189D083696}" type="pres">
      <dgm:prSet presAssocID="{50B7E000-AA74-4253-8F9F-37B2F5666F99}" presName="hierRoot2" presStyleCnt="0">
        <dgm:presLayoutVars>
          <dgm:hierBranch val="init"/>
        </dgm:presLayoutVars>
      </dgm:prSet>
      <dgm:spPr/>
    </dgm:pt>
    <dgm:pt modelId="{6D8B225D-DE11-4B95-9D42-73C1327F5CEB}" type="pres">
      <dgm:prSet presAssocID="{50B7E000-AA74-4253-8F9F-37B2F5666F99}" presName="rootComposite" presStyleCnt="0"/>
      <dgm:spPr/>
    </dgm:pt>
    <dgm:pt modelId="{001D0523-5D4E-4C7D-9B1E-63115992B6DB}" type="pres">
      <dgm:prSet presAssocID="{50B7E000-AA74-4253-8F9F-37B2F5666F99}" presName="rootText" presStyleLbl="node2" presStyleIdx="1" presStyleCnt="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ED3EFC9-161F-4D0E-BC8B-CF3EF1183277}" type="pres">
      <dgm:prSet presAssocID="{50B7E000-AA74-4253-8F9F-37B2F5666F99}" presName="rootConnector" presStyleLbl="node2" presStyleIdx="1" presStyleCnt="5"/>
      <dgm:spPr/>
      <dgm:t>
        <a:bodyPr/>
        <a:lstStyle/>
        <a:p>
          <a:endParaRPr lang="pt-BR"/>
        </a:p>
      </dgm:t>
    </dgm:pt>
    <dgm:pt modelId="{49CD4FDC-F329-42A1-85D8-A51EC7D550A5}" type="pres">
      <dgm:prSet presAssocID="{50B7E000-AA74-4253-8F9F-37B2F5666F99}" presName="hierChild4" presStyleCnt="0"/>
      <dgm:spPr/>
    </dgm:pt>
    <dgm:pt modelId="{1C9E1BB5-B590-4869-9DA7-B0422CF734AC}" type="pres">
      <dgm:prSet presAssocID="{50B7E000-AA74-4253-8F9F-37B2F5666F99}" presName="hierChild5" presStyleCnt="0"/>
      <dgm:spPr/>
    </dgm:pt>
    <dgm:pt modelId="{967015C9-06E7-4156-9ACF-549B9C9155E7}" type="pres">
      <dgm:prSet presAssocID="{4DCF6585-C2FE-47AD-A5A9-E2DC458C79F4}" presName="Name37" presStyleLbl="parChTrans1D2" presStyleIdx="2" presStyleCnt="5"/>
      <dgm:spPr/>
      <dgm:t>
        <a:bodyPr/>
        <a:lstStyle/>
        <a:p>
          <a:endParaRPr lang="pt-BR"/>
        </a:p>
      </dgm:t>
    </dgm:pt>
    <dgm:pt modelId="{1856FD4B-6070-4E75-ADEE-B5F00E742F1D}" type="pres">
      <dgm:prSet presAssocID="{5178B50F-027E-4F85-8B55-33FD23890215}" presName="hierRoot2" presStyleCnt="0">
        <dgm:presLayoutVars>
          <dgm:hierBranch val="init"/>
        </dgm:presLayoutVars>
      </dgm:prSet>
      <dgm:spPr/>
    </dgm:pt>
    <dgm:pt modelId="{2549D4F9-B422-4011-914E-B0217D3A4EBB}" type="pres">
      <dgm:prSet presAssocID="{5178B50F-027E-4F85-8B55-33FD23890215}" presName="rootComposite" presStyleCnt="0"/>
      <dgm:spPr/>
    </dgm:pt>
    <dgm:pt modelId="{D460CE34-93A9-455B-8F2A-7CF0912E40FB}" type="pres">
      <dgm:prSet presAssocID="{5178B50F-027E-4F85-8B55-33FD23890215}" presName="rootText" presStyleLbl="node2" presStyleIdx="2" presStyleCnt="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CC9AE987-018B-4E98-8A13-3E865BC0A23E}" type="pres">
      <dgm:prSet presAssocID="{5178B50F-027E-4F85-8B55-33FD23890215}" presName="rootConnector" presStyleLbl="node2" presStyleIdx="2" presStyleCnt="5"/>
      <dgm:spPr/>
      <dgm:t>
        <a:bodyPr/>
        <a:lstStyle/>
        <a:p>
          <a:endParaRPr lang="pt-BR"/>
        </a:p>
      </dgm:t>
    </dgm:pt>
    <dgm:pt modelId="{350AB2EC-1027-46CE-9F7B-F0F0B241A435}" type="pres">
      <dgm:prSet presAssocID="{5178B50F-027E-4F85-8B55-33FD23890215}" presName="hierChild4" presStyleCnt="0"/>
      <dgm:spPr/>
    </dgm:pt>
    <dgm:pt modelId="{97FE59DA-D495-4F43-B8C6-9308BA062F9B}" type="pres">
      <dgm:prSet presAssocID="{461D3ADF-F508-4872-8F22-29DF522E42CE}" presName="Name37" presStyleLbl="parChTrans1D3" presStyleIdx="1" presStyleCnt="4"/>
      <dgm:spPr/>
      <dgm:t>
        <a:bodyPr/>
        <a:lstStyle/>
        <a:p>
          <a:endParaRPr lang="pt-BR"/>
        </a:p>
      </dgm:t>
    </dgm:pt>
    <dgm:pt modelId="{6AFF7151-04A3-48DB-A502-E7BF6C8254CC}" type="pres">
      <dgm:prSet presAssocID="{A8108374-3CBF-4FCF-8BB3-01FD03611003}" presName="hierRoot2" presStyleCnt="0">
        <dgm:presLayoutVars>
          <dgm:hierBranch val="init"/>
        </dgm:presLayoutVars>
      </dgm:prSet>
      <dgm:spPr/>
    </dgm:pt>
    <dgm:pt modelId="{A47534E8-2D61-40E8-AF2D-9B54B58422A1}" type="pres">
      <dgm:prSet presAssocID="{A8108374-3CBF-4FCF-8BB3-01FD03611003}" presName="rootComposite" presStyleCnt="0"/>
      <dgm:spPr/>
    </dgm:pt>
    <dgm:pt modelId="{76F0E434-70AB-4B24-A428-D145616171FD}" type="pres">
      <dgm:prSet presAssocID="{A8108374-3CBF-4FCF-8BB3-01FD03611003}" presName="rootText" presStyleLbl="node3" presStyleIdx="1" presStyleCnt="4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538D0B5-E28B-4A5A-92DA-006C3798B471}" type="pres">
      <dgm:prSet presAssocID="{A8108374-3CBF-4FCF-8BB3-01FD03611003}" presName="rootConnector" presStyleLbl="node3" presStyleIdx="1" presStyleCnt="4"/>
      <dgm:spPr/>
      <dgm:t>
        <a:bodyPr/>
        <a:lstStyle/>
        <a:p>
          <a:endParaRPr lang="pt-BR"/>
        </a:p>
      </dgm:t>
    </dgm:pt>
    <dgm:pt modelId="{31E922D3-45C6-4FAB-8E08-B6788D7EF3E9}" type="pres">
      <dgm:prSet presAssocID="{A8108374-3CBF-4FCF-8BB3-01FD03611003}" presName="hierChild4" presStyleCnt="0"/>
      <dgm:spPr/>
    </dgm:pt>
    <dgm:pt modelId="{E495968F-8AA4-48C4-A652-02F7EE2D86AE}" type="pres">
      <dgm:prSet presAssocID="{A8108374-3CBF-4FCF-8BB3-01FD03611003}" presName="hierChild5" presStyleCnt="0"/>
      <dgm:spPr/>
    </dgm:pt>
    <dgm:pt modelId="{C49111CC-8086-4A58-BE78-22718A56C1D7}" type="pres">
      <dgm:prSet presAssocID="{5178B50F-027E-4F85-8B55-33FD23890215}" presName="hierChild5" presStyleCnt="0"/>
      <dgm:spPr/>
    </dgm:pt>
    <dgm:pt modelId="{682E8667-7571-4A37-909C-F03E52801DF2}" type="pres">
      <dgm:prSet presAssocID="{F243E7D0-2CF1-4722-96C7-C7D82CBA45B8}" presName="Name37" presStyleLbl="parChTrans1D2" presStyleIdx="3" presStyleCnt="5"/>
      <dgm:spPr/>
      <dgm:t>
        <a:bodyPr/>
        <a:lstStyle/>
        <a:p>
          <a:endParaRPr lang="pt-BR"/>
        </a:p>
      </dgm:t>
    </dgm:pt>
    <dgm:pt modelId="{A5AB5015-1FDF-489C-9421-A2DF2C7FD303}" type="pres">
      <dgm:prSet presAssocID="{A2720F96-1AED-4F58-BEE1-483E87A5C9D7}" presName="hierRoot2" presStyleCnt="0">
        <dgm:presLayoutVars>
          <dgm:hierBranch val="init"/>
        </dgm:presLayoutVars>
      </dgm:prSet>
      <dgm:spPr/>
    </dgm:pt>
    <dgm:pt modelId="{FAEF2319-1B9A-4C76-924E-B15406244B17}" type="pres">
      <dgm:prSet presAssocID="{A2720F96-1AED-4F58-BEE1-483E87A5C9D7}" presName="rootComposite" presStyleCnt="0"/>
      <dgm:spPr/>
    </dgm:pt>
    <dgm:pt modelId="{4139E15C-2487-441E-8B56-C08540768BB6}" type="pres">
      <dgm:prSet presAssocID="{A2720F96-1AED-4F58-BEE1-483E87A5C9D7}" presName="rootText" presStyleLbl="node2" presStyleIdx="3" presStyleCnt="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CA968EE7-C7E3-4DAB-BD0F-29F93F62B98D}" type="pres">
      <dgm:prSet presAssocID="{A2720F96-1AED-4F58-BEE1-483E87A5C9D7}" presName="rootConnector" presStyleLbl="node2" presStyleIdx="3" presStyleCnt="5"/>
      <dgm:spPr/>
      <dgm:t>
        <a:bodyPr/>
        <a:lstStyle/>
        <a:p>
          <a:endParaRPr lang="pt-BR"/>
        </a:p>
      </dgm:t>
    </dgm:pt>
    <dgm:pt modelId="{B935B3FD-BA0D-49EF-B644-D59E4EE875AA}" type="pres">
      <dgm:prSet presAssocID="{A2720F96-1AED-4F58-BEE1-483E87A5C9D7}" presName="hierChild4" presStyleCnt="0"/>
      <dgm:spPr/>
    </dgm:pt>
    <dgm:pt modelId="{F4352A0A-4CED-4035-A189-C95502611676}" type="pres">
      <dgm:prSet presAssocID="{1C37F14F-E209-4395-8ED3-81EC036F5164}" presName="Name37" presStyleLbl="parChTrans1D3" presStyleIdx="2" presStyleCnt="4"/>
      <dgm:spPr/>
      <dgm:t>
        <a:bodyPr/>
        <a:lstStyle/>
        <a:p>
          <a:endParaRPr lang="pt-BR"/>
        </a:p>
      </dgm:t>
    </dgm:pt>
    <dgm:pt modelId="{15FD0049-A538-4FB5-89A8-83F44592CFA2}" type="pres">
      <dgm:prSet presAssocID="{021A38B0-1003-4604-9407-A909D64A63AD}" presName="hierRoot2" presStyleCnt="0">
        <dgm:presLayoutVars>
          <dgm:hierBranch val="init"/>
        </dgm:presLayoutVars>
      </dgm:prSet>
      <dgm:spPr/>
    </dgm:pt>
    <dgm:pt modelId="{343C6C7C-D449-485E-9AB7-F905DC7000A3}" type="pres">
      <dgm:prSet presAssocID="{021A38B0-1003-4604-9407-A909D64A63AD}" presName="rootComposite" presStyleCnt="0"/>
      <dgm:spPr/>
    </dgm:pt>
    <dgm:pt modelId="{A5DFA9EA-329C-49B1-A5FF-CBC2D5E87324}" type="pres">
      <dgm:prSet presAssocID="{021A38B0-1003-4604-9407-A909D64A63AD}" presName="rootText" presStyleLbl="node3" presStyleIdx="2" presStyleCnt="4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F7AADA2F-4DA7-479B-95BF-8F107CBE9CB3}" type="pres">
      <dgm:prSet presAssocID="{021A38B0-1003-4604-9407-A909D64A63AD}" presName="rootConnector" presStyleLbl="node3" presStyleIdx="2" presStyleCnt="4"/>
      <dgm:spPr/>
      <dgm:t>
        <a:bodyPr/>
        <a:lstStyle/>
        <a:p>
          <a:endParaRPr lang="pt-BR"/>
        </a:p>
      </dgm:t>
    </dgm:pt>
    <dgm:pt modelId="{2CE995B6-5722-4261-8835-93135716BC5B}" type="pres">
      <dgm:prSet presAssocID="{021A38B0-1003-4604-9407-A909D64A63AD}" presName="hierChild4" presStyleCnt="0"/>
      <dgm:spPr/>
    </dgm:pt>
    <dgm:pt modelId="{B1079478-920B-4680-A5B4-CA77144F508B}" type="pres">
      <dgm:prSet presAssocID="{021A38B0-1003-4604-9407-A909D64A63AD}" presName="hierChild5" presStyleCnt="0"/>
      <dgm:spPr/>
    </dgm:pt>
    <dgm:pt modelId="{A1BC12E1-AA6E-4D75-A0A1-465B40960C0D}" type="pres">
      <dgm:prSet presAssocID="{A2720F96-1AED-4F58-BEE1-483E87A5C9D7}" presName="hierChild5" presStyleCnt="0"/>
      <dgm:spPr/>
    </dgm:pt>
    <dgm:pt modelId="{611BCEA6-7255-4AB9-A3E0-D8D6EC3ECB87}" type="pres">
      <dgm:prSet presAssocID="{713EE879-CAA2-44A2-86EA-606B8815EF51}" presName="Name37" presStyleLbl="parChTrans1D2" presStyleIdx="4" presStyleCnt="5"/>
      <dgm:spPr/>
      <dgm:t>
        <a:bodyPr/>
        <a:lstStyle/>
        <a:p>
          <a:endParaRPr lang="pt-BR"/>
        </a:p>
      </dgm:t>
    </dgm:pt>
    <dgm:pt modelId="{602E6F51-0A8F-44F5-A76F-9368EC882F1E}" type="pres">
      <dgm:prSet presAssocID="{616B2EED-0DD0-4507-940E-10631C16E036}" presName="hierRoot2" presStyleCnt="0">
        <dgm:presLayoutVars>
          <dgm:hierBranch val="init"/>
        </dgm:presLayoutVars>
      </dgm:prSet>
      <dgm:spPr/>
    </dgm:pt>
    <dgm:pt modelId="{1758E5C8-496A-4E31-A5C3-2333F95C78CC}" type="pres">
      <dgm:prSet presAssocID="{616B2EED-0DD0-4507-940E-10631C16E036}" presName="rootComposite" presStyleCnt="0"/>
      <dgm:spPr/>
    </dgm:pt>
    <dgm:pt modelId="{409A6ECF-5114-40D6-A9FE-0B415045C025}" type="pres">
      <dgm:prSet presAssocID="{616B2EED-0DD0-4507-940E-10631C16E036}" presName="rootText" presStyleLbl="node2" presStyleIdx="4" presStyleCnt="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2F742D9-92C8-4244-9F09-09296679EC81}" type="pres">
      <dgm:prSet presAssocID="{616B2EED-0DD0-4507-940E-10631C16E036}" presName="rootConnector" presStyleLbl="node2" presStyleIdx="4" presStyleCnt="5"/>
      <dgm:spPr/>
      <dgm:t>
        <a:bodyPr/>
        <a:lstStyle/>
        <a:p>
          <a:endParaRPr lang="pt-BR"/>
        </a:p>
      </dgm:t>
    </dgm:pt>
    <dgm:pt modelId="{239E25AA-5C7A-4B91-917F-442BC9A4299B}" type="pres">
      <dgm:prSet presAssocID="{616B2EED-0DD0-4507-940E-10631C16E036}" presName="hierChild4" presStyleCnt="0"/>
      <dgm:spPr/>
    </dgm:pt>
    <dgm:pt modelId="{2BABB917-D240-40B2-A124-5493ECE7ED23}" type="pres">
      <dgm:prSet presAssocID="{976A7579-FB54-4275-A797-C307E86D0A7F}" presName="Name37" presStyleLbl="parChTrans1D3" presStyleIdx="3" presStyleCnt="4"/>
      <dgm:spPr/>
      <dgm:t>
        <a:bodyPr/>
        <a:lstStyle/>
        <a:p>
          <a:endParaRPr lang="pt-BR"/>
        </a:p>
      </dgm:t>
    </dgm:pt>
    <dgm:pt modelId="{5C1FD077-DC77-4511-9875-152E03690B98}" type="pres">
      <dgm:prSet presAssocID="{D65EF279-C846-4517-A4BC-E9EA68F43CE6}" presName="hierRoot2" presStyleCnt="0">
        <dgm:presLayoutVars>
          <dgm:hierBranch val="init"/>
        </dgm:presLayoutVars>
      </dgm:prSet>
      <dgm:spPr/>
    </dgm:pt>
    <dgm:pt modelId="{646B6031-F56C-4F30-A8C9-6A0982F2CF8D}" type="pres">
      <dgm:prSet presAssocID="{D65EF279-C846-4517-A4BC-E9EA68F43CE6}" presName="rootComposite" presStyleCnt="0"/>
      <dgm:spPr/>
    </dgm:pt>
    <dgm:pt modelId="{620028DC-C121-4622-87D1-538C821EACD3}" type="pres">
      <dgm:prSet presAssocID="{D65EF279-C846-4517-A4BC-E9EA68F43CE6}" presName="rootText" presStyleLbl="node3" presStyleIdx="3" presStyleCnt="4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ED77B7DC-E76A-44E1-B732-AAEAE4EE5B03}" type="pres">
      <dgm:prSet presAssocID="{D65EF279-C846-4517-A4BC-E9EA68F43CE6}" presName="rootConnector" presStyleLbl="node3" presStyleIdx="3" presStyleCnt="4"/>
      <dgm:spPr/>
      <dgm:t>
        <a:bodyPr/>
        <a:lstStyle/>
        <a:p>
          <a:endParaRPr lang="pt-BR"/>
        </a:p>
      </dgm:t>
    </dgm:pt>
    <dgm:pt modelId="{F1169B37-7590-471A-A63F-7C640DD73824}" type="pres">
      <dgm:prSet presAssocID="{D65EF279-C846-4517-A4BC-E9EA68F43CE6}" presName="hierChild4" presStyleCnt="0"/>
      <dgm:spPr/>
    </dgm:pt>
    <dgm:pt modelId="{A376E84F-4EA4-44F6-B8C8-310559964876}" type="pres">
      <dgm:prSet presAssocID="{D65EF279-C846-4517-A4BC-E9EA68F43CE6}" presName="hierChild5" presStyleCnt="0"/>
      <dgm:spPr/>
    </dgm:pt>
    <dgm:pt modelId="{88494366-3885-4665-87F3-DCDE02D39160}" type="pres">
      <dgm:prSet presAssocID="{616B2EED-0DD0-4507-940E-10631C16E036}" presName="hierChild5" presStyleCnt="0"/>
      <dgm:spPr/>
    </dgm:pt>
    <dgm:pt modelId="{3FBDB905-48B4-412C-B4F3-BEE368A1F202}" type="pres">
      <dgm:prSet presAssocID="{C1F87379-3419-47DD-9C22-154ADE21A570}" presName="hierChild3" presStyleCnt="0"/>
      <dgm:spPr/>
    </dgm:pt>
  </dgm:ptLst>
  <dgm:cxnLst>
    <dgm:cxn modelId="{97244682-4679-452C-A165-B71221525EFD}" type="presOf" srcId="{D65EF279-C846-4517-A4BC-E9EA68F43CE6}" destId="{ED77B7DC-E76A-44E1-B732-AAEAE4EE5B03}" srcOrd="1" destOrd="0" presId="urn:microsoft.com/office/officeart/2005/8/layout/orgChart1"/>
    <dgm:cxn modelId="{38C0DD8D-0748-4236-876D-17B66109C895}" type="presOf" srcId="{FE7267F3-9917-46F2-AC5A-CE75FBE8D0FC}" destId="{D2EC1EA8-A4C7-40F7-9656-FF8BD5BB56F5}" srcOrd="0" destOrd="0" presId="urn:microsoft.com/office/officeart/2005/8/layout/orgChart1"/>
    <dgm:cxn modelId="{BA7E134C-7135-4A7E-BA8A-9C46CD57C375}" type="presOf" srcId="{1C37F14F-E209-4395-8ED3-81EC036F5164}" destId="{F4352A0A-4CED-4035-A189-C95502611676}" srcOrd="0" destOrd="0" presId="urn:microsoft.com/office/officeart/2005/8/layout/orgChart1"/>
    <dgm:cxn modelId="{B62E5780-ED7C-42F4-8A9B-2B5470839F11}" type="presOf" srcId="{D65EF279-C846-4517-A4BC-E9EA68F43CE6}" destId="{620028DC-C121-4622-87D1-538C821EACD3}" srcOrd="0" destOrd="0" presId="urn:microsoft.com/office/officeart/2005/8/layout/orgChart1"/>
    <dgm:cxn modelId="{BA5073D7-03A5-4929-A0FD-F3CD1BA2748E}" type="presOf" srcId="{50B7E000-AA74-4253-8F9F-37B2F5666F99}" destId="{DED3EFC9-161F-4D0E-BC8B-CF3EF1183277}" srcOrd="1" destOrd="0" presId="urn:microsoft.com/office/officeart/2005/8/layout/orgChart1"/>
    <dgm:cxn modelId="{B6B3F789-27EC-486F-8B4A-87DC287015D0}" srcId="{C1F87379-3419-47DD-9C22-154ADE21A570}" destId="{9ED31AD2-5909-4BE7-A860-342AA9712C1A}" srcOrd="0" destOrd="0" parTransId="{64F8F326-796D-4931-B8FD-DCF258645713}" sibTransId="{2CEFBEE8-294F-4EFE-B90C-3DE3671DD2A0}"/>
    <dgm:cxn modelId="{1B2E7562-FCD5-4EC6-B95D-75722CDAA49B}" srcId="{C1F87379-3419-47DD-9C22-154ADE21A570}" destId="{616B2EED-0DD0-4507-940E-10631C16E036}" srcOrd="4" destOrd="0" parTransId="{713EE879-CAA2-44A2-86EA-606B8815EF51}" sibTransId="{D7BDCF37-50D4-44A2-A0A4-97C4D0149897}"/>
    <dgm:cxn modelId="{C1D3A35D-771E-482E-9E6B-D6BA4DD932B6}" type="presOf" srcId="{4DCF6585-C2FE-47AD-A5A9-E2DC458C79F4}" destId="{967015C9-06E7-4156-9ACF-549B9C9155E7}" srcOrd="0" destOrd="0" presId="urn:microsoft.com/office/officeart/2005/8/layout/orgChart1"/>
    <dgm:cxn modelId="{C28E3436-4043-490F-858D-DCB266C85D08}" type="presOf" srcId="{A53CF394-4C4E-448C-BF33-F25CF7415AC0}" destId="{53430193-23D6-472F-BC2B-0B957C61D0FD}" srcOrd="0" destOrd="0" presId="urn:microsoft.com/office/officeart/2005/8/layout/orgChart1"/>
    <dgm:cxn modelId="{B5C7C4EB-B78C-4EAC-90FB-F408F73521E6}" srcId="{C1F87379-3419-47DD-9C22-154ADE21A570}" destId="{5178B50F-027E-4F85-8B55-33FD23890215}" srcOrd="2" destOrd="0" parTransId="{4DCF6585-C2FE-47AD-A5A9-E2DC458C79F4}" sibTransId="{585E04CA-22F9-45B9-87C2-1C3BB9D88328}"/>
    <dgm:cxn modelId="{C0222F18-B36F-4608-8930-8A410872795B}" type="presOf" srcId="{976A7579-FB54-4275-A797-C307E86D0A7F}" destId="{2BABB917-D240-40B2-A124-5493ECE7ED23}" srcOrd="0" destOrd="0" presId="urn:microsoft.com/office/officeart/2005/8/layout/orgChart1"/>
    <dgm:cxn modelId="{619E9DBC-878C-48E0-98DC-ACB5A6E80731}" srcId="{A53CF394-4C4E-448C-BF33-F25CF7415AC0}" destId="{C1F87379-3419-47DD-9C22-154ADE21A570}" srcOrd="0" destOrd="0" parTransId="{75D1E41D-4CB2-4D1F-A5DE-37E84A2E9050}" sibTransId="{7BE0BE71-76C7-42B5-A3EF-B2375878A45B}"/>
    <dgm:cxn modelId="{13BDFAF8-2F95-4065-B9AD-B309F171EC6C}" type="presOf" srcId="{A2720F96-1AED-4F58-BEE1-483E87A5C9D7}" destId="{4139E15C-2487-441E-8B56-C08540768BB6}" srcOrd="0" destOrd="0" presId="urn:microsoft.com/office/officeart/2005/8/layout/orgChart1"/>
    <dgm:cxn modelId="{0E0C0530-B010-4E10-8794-50E1BE80D9DC}" type="presOf" srcId="{461D3ADF-F508-4872-8F22-29DF522E42CE}" destId="{97FE59DA-D495-4F43-B8C6-9308BA062F9B}" srcOrd="0" destOrd="0" presId="urn:microsoft.com/office/officeart/2005/8/layout/orgChart1"/>
    <dgm:cxn modelId="{C54AAB5B-A264-4850-9DEA-113E1F36FC13}" type="presOf" srcId="{021A38B0-1003-4604-9407-A909D64A63AD}" destId="{A5DFA9EA-329C-49B1-A5FF-CBC2D5E87324}" srcOrd="0" destOrd="0" presId="urn:microsoft.com/office/officeart/2005/8/layout/orgChart1"/>
    <dgm:cxn modelId="{F0A6AAC9-3A43-44C6-B333-CC892BAD510F}" type="presOf" srcId="{5178B50F-027E-4F85-8B55-33FD23890215}" destId="{CC9AE987-018B-4E98-8A13-3E865BC0A23E}" srcOrd="1" destOrd="0" presId="urn:microsoft.com/office/officeart/2005/8/layout/orgChart1"/>
    <dgm:cxn modelId="{D4211731-BB73-47AA-8E06-0363A9EEDCA0}" type="presOf" srcId="{9ED31AD2-5909-4BE7-A860-342AA9712C1A}" destId="{4F8007BD-741A-480B-986F-1E5147BCC3D0}" srcOrd="0" destOrd="0" presId="urn:microsoft.com/office/officeart/2005/8/layout/orgChart1"/>
    <dgm:cxn modelId="{FE89A60F-B7E8-4243-B243-8F1E8E084AEE}" type="presOf" srcId="{713EE879-CAA2-44A2-86EA-606B8815EF51}" destId="{611BCEA6-7255-4AB9-A3E0-D8D6EC3ECB87}" srcOrd="0" destOrd="0" presId="urn:microsoft.com/office/officeart/2005/8/layout/orgChart1"/>
    <dgm:cxn modelId="{04FE765C-84E8-414B-9398-0E349850911C}" srcId="{C1F87379-3419-47DD-9C22-154ADE21A570}" destId="{A2720F96-1AED-4F58-BEE1-483E87A5C9D7}" srcOrd="3" destOrd="0" parTransId="{F243E7D0-2CF1-4722-96C7-C7D82CBA45B8}" sibTransId="{7F38EA85-BCDB-4CE5-BFFC-176746E3973C}"/>
    <dgm:cxn modelId="{EC39B73A-661B-4645-ABD7-D9B2CE723A32}" type="presOf" srcId="{5178B50F-027E-4F85-8B55-33FD23890215}" destId="{D460CE34-93A9-455B-8F2A-7CF0912E40FB}" srcOrd="0" destOrd="0" presId="urn:microsoft.com/office/officeart/2005/8/layout/orgChart1"/>
    <dgm:cxn modelId="{899298E2-9945-463F-95D9-72CEFD73C07C}" srcId="{616B2EED-0DD0-4507-940E-10631C16E036}" destId="{D65EF279-C846-4517-A4BC-E9EA68F43CE6}" srcOrd="0" destOrd="0" parTransId="{976A7579-FB54-4275-A797-C307E86D0A7F}" sibTransId="{5C8CFAE6-A4D8-424E-BC32-57BCD998A835}"/>
    <dgm:cxn modelId="{3D85F4D4-ECF7-4223-8936-7227D19B9A4D}" srcId="{9ED31AD2-5909-4BE7-A860-342AA9712C1A}" destId="{489A4EB8-0A01-4ADB-88EC-2EDAC808AE46}" srcOrd="0" destOrd="0" parTransId="{FE7267F3-9917-46F2-AC5A-CE75FBE8D0FC}" sibTransId="{795302FC-1F30-485E-8FD2-7034CEBA911E}"/>
    <dgm:cxn modelId="{5E672745-B7EB-4D7A-A332-0137C942C245}" srcId="{A2720F96-1AED-4F58-BEE1-483E87A5C9D7}" destId="{021A38B0-1003-4604-9407-A909D64A63AD}" srcOrd="0" destOrd="0" parTransId="{1C37F14F-E209-4395-8ED3-81EC036F5164}" sibTransId="{E1797618-95E5-4840-8BB6-5927C910DCA2}"/>
    <dgm:cxn modelId="{6A2510F9-B844-4C20-8862-A94D71DB0646}" srcId="{5178B50F-027E-4F85-8B55-33FD23890215}" destId="{A8108374-3CBF-4FCF-8BB3-01FD03611003}" srcOrd="0" destOrd="0" parTransId="{461D3ADF-F508-4872-8F22-29DF522E42CE}" sibTransId="{83A28B77-AAAF-49A2-8562-D66F99BD4BE4}"/>
    <dgm:cxn modelId="{DFD54EE4-04A0-48A6-9A27-A175AC441EB1}" type="presOf" srcId="{A8108374-3CBF-4FCF-8BB3-01FD03611003}" destId="{76F0E434-70AB-4B24-A428-D145616171FD}" srcOrd="0" destOrd="0" presId="urn:microsoft.com/office/officeart/2005/8/layout/orgChart1"/>
    <dgm:cxn modelId="{EBBC45D6-E3A9-4238-A669-153C5A66A6E8}" type="presOf" srcId="{9ED31AD2-5909-4BE7-A860-342AA9712C1A}" destId="{E629465C-6090-43C2-A630-C1A9864F05CA}" srcOrd="1" destOrd="0" presId="urn:microsoft.com/office/officeart/2005/8/layout/orgChart1"/>
    <dgm:cxn modelId="{6D920ABE-06C1-4390-9842-6B9AD5FFF40C}" type="presOf" srcId="{64F8F326-796D-4931-B8FD-DCF258645713}" destId="{8EB8623E-C131-493F-AB9E-8DFE1F0CF94F}" srcOrd="0" destOrd="0" presId="urn:microsoft.com/office/officeart/2005/8/layout/orgChart1"/>
    <dgm:cxn modelId="{A89446DF-D912-4E00-BF6C-0DEF02E1D369}" type="presOf" srcId="{616B2EED-0DD0-4507-940E-10631C16E036}" destId="{D2F742D9-92C8-4244-9F09-09296679EC81}" srcOrd="1" destOrd="0" presId="urn:microsoft.com/office/officeart/2005/8/layout/orgChart1"/>
    <dgm:cxn modelId="{A1685537-6EB3-48E2-94C1-15CD100B0F7B}" type="presOf" srcId="{489A4EB8-0A01-4ADB-88EC-2EDAC808AE46}" destId="{0A06D1AD-5B94-4E2A-885B-9C4F943B769D}" srcOrd="1" destOrd="0" presId="urn:microsoft.com/office/officeart/2005/8/layout/orgChart1"/>
    <dgm:cxn modelId="{C528D5AE-5724-4C8F-A1AE-9901D4D39EB0}" type="presOf" srcId="{50B7E000-AA74-4253-8F9F-37B2F5666F99}" destId="{001D0523-5D4E-4C7D-9B1E-63115992B6DB}" srcOrd="0" destOrd="0" presId="urn:microsoft.com/office/officeart/2005/8/layout/orgChart1"/>
    <dgm:cxn modelId="{F299BBAF-DF7E-4BFD-8173-792E25AF4D23}" type="presOf" srcId="{7AA6C0CC-3722-4C60-AB31-EF08B25DD66E}" destId="{774E4198-E6C3-461A-8D9B-4B11CEB2525C}" srcOrd="0" destOrd="0" presId="urn:microsoft.com/office/officeart/2005/8/layout/orgChart1"/>
    <dgm:cxn modelId="{3A4ABE9A-F3F8-4067-A5E1-8B217C728FD1}" type="presOf" srcId="{C1F87379-3419-47DD-9C22-154ADE21A570}" destId="{37366304-D8AE-4006-B609-CEB6503C8747}" srcOrd="1" destOrd="0" presId="urn:microsoft.com/office/officeart/2005/8/layout/orgChart1"/>
    <dgm:cxn modelId="{001CC5DD-8360-49EA-9037-92FA8C29D4AC}" type="presOf" srcId="{A8108374-3CBF-4FCF-8BB3-01FD03611003}" destId="{D538D0B5-E28B-4A5A-92DA-006C3798B471}" srcOrd="1" destOrd="0" presId="urn:microsoft.com/office/officeart/2005/8/layout/orgChart1"/>
    <dgm:cxn modelId="{2ED4BFC1-0D0C-472B-9EC5-10944A391B24}" srcId="{C1F87379-3419-47DD-9C22-154ADE21A570}" destId="{50B7E000-AA74-4253-8F9F-37B2F5666F99}" srcOrd="1" destOrd="0" parTransId="{7AA6C0CC-3722-4C60-AB31-EF08B25DD66E}" sibTransId="{10CE414D-4048-47E4-820A-A805A91349D6}"/>
    <dgm:cxn modelId="{C75CD902-6B31-41CA-9069-3F693176B560}" type="presOf" srcId="{616B2EED-0DD0-4507-940E-10631C16E036}" destId="{409A6ECF-5114-40D6-A9FE-0B415045C025}" srcOrd="0" destOrd="0" presId="urn:microsoft.com/office/officeart/2005/8/layout/orgChart1"/>
    <dgm:cxn modelId="{661AC98C-FE58-44C6-947F-39DCE80E0619}" type="presOf" srcId="{489A4EB8-0A01-4ADB-88EC-2EDAC808AE46}" destId="{0A52C866-ADF2-44FC-B2F1-67CA107372D9}" srcOrd="0" destOrd="0" presId="urn:microsoft.com/office/officeart/2005/8/layout/orgChart1"/>
    <dgm:cxn modelId="{BD003067-1E24-4A8B-BA9B-208E044B32CA}" type="presOf" srcId="{F243E7D0-2CF1-4722-96C7-C7D82CBA45B8}" destId="{682E8667-7571-4A37-909C-F03E52801DF2}" srcOrd="0" destOrd="0" presId="urn:microsoft.com/office/officeart/2005/8/layout/orgChart1"/>
    <dgm:cxn modelId="{EF23B2CC-5725-4603-83F7-2081C054C3BF}" type="presOf" srcId="{A2720F96-1AED-4F58-BEE1-483E87A5C9D7}" destId="{CA968EE7-C7E3-4DAB-BD0F-29F93F62B98D}" srcOrd="1" destOrd="0" presId="urn:microsoft.com/office/officeart/2005/8/layout/orgChart1"/>
    <dgm:cxn modelId="{75E34B10-A40C-4AC5-B196-B10159996E9E}" type="presOf" srcId="{021A38B0-1003-4604-9407-A909D64A63AD}" destId="{F7AADA2F-4DA7-479B-95BF-8F107CBE9CB3}" srcOrd="1" destOrd="0" presId="urn:microsoft.com/office/officeart/2005/8/layout/orgChart1"/>
    <dgm:cxn modelId="{D3E94383-F545-4BB6-B789-82816DC69A07}" type="presOf" srcId="{C1F87379-3419-47DD-9C22-154ADE21A570}" destId="{443490F6-6064-45AB-879C-E1C777D19117}" srcOrd="0" destOrd="0" presId="urn:microsoft.com/office/officeart/2005/8/layout/orgChart1"/>
    <dgm:cxn modelId="{3B5F05B5-08EC-4D43-8769-4989D347FB1A}" type="presParOf" srcId="{53430193-23D6-472F-BC2B-0B957C61D0FD}" destId="{3E193A4A-2C01-4CD9-9E50-508A3620DECA}" srcOrd="0" destOrd="0" presId="urn:microsoft.com/office/officeart/2005/8/layout/orgChart1"/>
    <dgm:cxn modelId="{F75BF93D-5A0A-4088-A08A-981AC3730091}" type="presParOf" srcId="{3E193A4A-2C01-4CD9-9E50-508A3620DECA}" destId="{51103296-8714-490E-BB2B-EFFA13F3E4BF}" srcOrd="0" destOrd="0" presId="urn:microsoft.com/office/officeart/2005/8/layout/orgChart1"/>
    <dgm:cxn modelId="{FBB51F8D-1F32-4DDC-B5A6-1A0C0C7312AD}" type="presParOf" srcId="{51103296-8714-490E-BB2B-EFFA13F3E4BF}" destId="{443490F6-6064-45AB-879C-E1C777D19117}" srcOrd="0" destOrd="0" presId="urn:microsoft.com/office/officeart/2005/8/layout/orgChart1"/>
    <dgm:cxn modelId="{FE206AEA-BB22-4F69-8F3F-8134630D48A0}" type="presParOf" srcId="{51103296-8714-490E-BB2B-EFFA13F3E4BF}" destId="{37366304-D8AE-4006-B609-CEB6503C8747}" srcOrd="1" destOrd="0" presId="urn:microsoft.com/office/officeart/2005/8/layout/orgChart1"/>
    <dgm:cxn modelId="{97EC04F9-3233-4A1E-8621-875C547CE32E}" type="presParOf" srcId="{3E193A4A-2C01-4CD9-9E50-508A3620DECA}" destId="{388885B8-491B-460E-BD02-388AD088F5B2}" srcOrd="1" destOrd="0" presId="urn:microsoft.com/office/officeart/2005/8/layout/orgChart1"/>
    <dgm:cxn modelId="{81D285C7-1D2F-4C09-A55D-AC1C553CFE5C}" type="presParOf" srcId="{388885B8-491B-460E-BD02-388AD088F5B2}" destId="{8EB8623E-C131-493F-AB9E-8DFE1F0CF94F}" srcOrd="0" destOrd="0" presId="urn:microsoft.com/office/officeart/2005/8/layout/orgChart1"/>
    <dgm:cxn modelId="{93D19AFD-D4B4-4920-99E1-D822F72A9BCA}" type="presParOf" srcId="{388885B8-491B-460E-BD02-388AD088F5B2}" destId="{BDB1FEB6-0A74-427E-AEB0-43A48DCA68C6}" srcOrd="1" destOrd="0" presId="urn:microsoft.com/office/officeart/2005/8/layout/orgChart1"/>
    <dgm:cxn modelId="{8A9C9556-543B-4E6F-9FD7-3AD82412CCCF}" type="presParOf" srcId="{BDB1FEB6-0A74-427E-AEB0-43A48DCA68C6}" destId="{A61AD6FB-C70D-402E-866C-AA7314F9C7AA}" srcOrd="0" destOrd="0" presId="urn:microsoft.com/office/officeart/2005/8/layout/orgChart1"/>
    <dgm:cxn modelId="{3380F48D-3924-46AA-87ED-9B822B1D43B1}" type="presParOf" srcId="{A61AD6FB-C70D-402E-866C-AA7314F9C7AA}" destId="{4F8007BD-741A-480B-986F-1E5147BCC3D0}" srcOrd="0" destOrd="0" presId="urn:microsoft.com/office/officeart/2005/8/layout/orgChart1"/>
    <dgm:cxn modelId="{4DA72CB3-EF22-49D7-907F-024A03069111}" type="presParOf" srcId="{A61AD6FB-C70D-402E-866C-AA7314F9C7AA}" destId="{E629465C-6090-43C2-A630-C1A9864F05CA}" srcOrd="1" destOrd="0" presId="urn:microsoft.com/office/officeart/2005/8/layout/orgChart1"/>
    <dgm:cxn modelId="{A6744171-02AA-45FA-BA94-A73534A3C6F7}" type="presParOf" srcId="{BDB1FEB6-0A74-427E-AEB0-43A48DCA68C6}" destId="{DE187D6C-6A5E-45B0-B480-564191415008}" srcOrd="1" destOrd="0" presId="urn:microsoft.com/office/officeart/2005/8/layout/orgChart1"/>
    <dgm:cxn modelId="{94E92E44-957F-4AC7-84F4-E392A138B9B4}" type="presParOf" srcId="{DE187D6C-6A5E-45B0-B480-564191415008}" destId="{D2EC1EA8-A4C7-40F7-9656-FF8BD5BB56F5}" srcOrd="0" destOrd="0" presId="urn:microsoft.com/office/officeart/2005/8/layout/orgChart1"/>
    <dgm:cxn modelId="{DABDE945-E602-4A53-B3C1-615A82037678}" type="presParOf" srcId="{DE187D6C-6A5E-45B0-B480-564191415008}" destId="{8A14CA95-F763-4032-A4CF-49C5D37D91D5}" srcOrd="1" destOrd="0" presId="urn:microsoft.com/office/officeart/2005/8/layout/orgChart1"/>
    <dgm:cxn modelId="{2109B62E-CB73-442A-A236-64FBBE868221}" type="presParOf" srcId="{8A14CA95-F763-4032-A4CF-49C5D37D91D5}" destId="{6D1F80B1-247D-49E8-B697-A14AFEF4B473}" srcOrd="0" destOrd="0" presId="urn:microsoft.com/office/officeart/2005/8/layout/orgChart1"/>
    <dgm:cxn modelId="{EC920D09-651A-415A-BEED-7CF393BF0C84}" type="presParOf" srcId="{6D1F80B1-247D-49E8-B697-A14AFEF4B473}" destId="{0A52C866-ADF2-44FC-B2F1-67CA107372D9}" srcOrd="0" destOrd="0" presId="urn:microsoft.com/office/officeart/2005/8/layout/orgChart1"/>
    <dgm:cxn modelId="{4328894F-7560-47E6-B01A-DE9F2EA22732}" type="presParOf" srcId="{6D1F80B1-247D-49E8-B697-A14AFEF4B473}" destId="{0A06D1AD-5B94-4E2A-885B-9C4F943B769D}" srcOrd="1" destOrd="0" presId="urn:microsoft.com/office/officeart/2005/8/layout/orgChart1"/>
    <dgm:cxn modelId="{EEF149B8-F538-47C1-AAE7-3BB30EA6F2D7}" type="presParOf" srcId="{8A14CA95-F763-4032-A4CF-49C5D37D91D5}" destId="{D77B5DB8-E448-411C-AD49-D59F07DBBCA8}" srcOrd="1" destOrd="0" presId="urn:microsoft.com/office/officeart/2005/8/layout/orgChart1"/>
    <dgm:cxn modelId="{38C88E33-5BA8-4E59-8514-DAE8A270A301}" type="presParOf" srcId="{8A14CA95-F763-4032-A4CF-49C5D37D91D5}" destId="{C046ABE8-FCC7-4FF5-93D1-E368F762C229}" srcOrd="2" destOrd="0" presId="urn:microsoft.com/office/officeart/2005/8/layout/orgChart1"/>
    <dgm:cxn modelId="{B6DD1318-9D74-4FFB-ABB6-EB92FD763818}" type="presParOf" srcId="{BDB1FEB6-0A74-427E-AEB0-43A48DCA68C6}" destId="{D3843859-D1F7-4BB3-AB06-CF269CAE0D60}" srcOrd="2" destOrd="0" presId="urn:microsoft.com/office/officeart/2005/8/layout/orgChart1"/>
    <dgm:cxn modelId="{198BCDF4-EB45-4B15-8F78-0D22851312C4}" type="presParOf" srcId="{388885B8-491B-460E-BD02-388AD088F5B2}" destId="{774E4198-E6C3-461A-8D9B-4B11CEB2525C}" srcOrd="2" destOrd="0" presId="urn:microsoft.com/office/officeart/2005/8/layout/orgChart1"/>
    <dgm:cxn modelId="{622E17C2-D318-4073-A7CD-F03C01D9853E}" type="presParOf" srcId="{388885B8-491B-460E-BD02-388AD088F5B2}" destId="{49C00371-9B63-4AD4-AA1A-31189D083696}" srcOrd="3" destOrd="0" presId="urn:microsoft.com/office/officeart/2005/8/layout/orgChart1"/>
    <dgm:cxn modelId="{96AC258E-1337-4824-8741-3074D5CE4B67}" type="presParOf" srcId="{49C00371-9B63-4AD4-AA1A-31189D083696}" destId="{6D8B225D-DE11-4B95-9D42-73C1327F5CEB}" srcOrd="0" destOrd="0" presId="urn:microsoft.com/office/officeart/2005/8/layout/orgChart1"/>
    <dgm:cxn modelId="{80E936C2-785B-4FE2-AF81-241978165EF7}" type="presParOf" srcId="{6D8B225D-DE11-4B95-9D42-73C1327F5CEB}" destId="{001D0523-5D4E-4C7D-9B1E-63115992B6DB}" srcOrd="0" destOrd="0" presId="urn:microsoft.com/office/officeart/2005/8/layout/orgChart1"/>
    <dgm:cxn modelId="{0CE133F3-C683-426C-94D6-4E39D31D1DED}" type="presParOf" srcId="{6D8B225D-DE11-4B95-9D42-73C1327F5CEB}" destId="{DED3EFC9-161F-4D0E-BC8B-CF3EF1183277}" srcOrd="1" destOrd="0" presId="urn:microsoft.com/office/officeart/2005/8/layout/orgChart1"/>
    <dgm:cxn modelId="{E2738D8A-5F85-4F78-ADBE-024C6D305F83}" type="presParOf" srcId="{49C00371-9B63-4AD4-AA1A-31189D083696}" destId="{49CD4FDC-F329-42A1-85D8-A51EC7D550A5}" srcOrd="1" destOrd="0" presId="urn:microsoft.com/office/officeart/2005/8/layout/orgChart1"/>
    <dgm:cxn modelId="{E3363B04-3D2D-4D41-9BA3-A8499A498657}" type="presParOf" srcId="{49C00371-9B63-4AD4-AA1A-31189D083696}" destId="{1C9E1BB5-B590-4869-9DA7-B0422CF734AC}" srcOrd="2" destOrd="0" presId="urn:microsoft.com/office/officeart/2005/8/layout/orgChart1"/>
    <dgm:cxn modelId="{DDF2AFD5-2761-4924-998A-E7A163553462}" type="presParOf" srcId="{388885B8-491B-460E-BD02-388AD088F5B2}" destId="{967015C9-06E7-4156-9ACF-549B9C9155E7}" srcOrd="4" destOrd="0" presId="urn:microsoft.com/office/officeart/2005/8/layout/orgChart1"/>
    <dgm:cxn modelId="{E6A7BB24-96C7-4189-8D41-01658507A63B}" type="presParOf" srcId="{388885B8-491B-460E-BD02-388AD088F5B2}" destId="{1856FD4B-6070-4E75-ADEE-B5F00E742F1D}" srcOrd="5" destOrd="0" presId="urn:microsoft.com/office/officeart/2005/8/layout/orgChart1"/>
    <dgm:cxn modelId="{A224CD64-7C1F-4209-919E-AD3763C81D13}" type="presParOf" srcId="{1856FD4B-6070-4E75-ADEE-B5F00E742F1D}" destId="{2549D4F9-B422-4011-914E-B0217D3A4EBB}" srcOrd="0" destOrd="0" presId="urn:microsoft.com/office/officeart/2005/8/layout/orgChart1"/>
    <dgm:cxn modelId="{6ADFA834-E4E1-4698-A3A7-80EDF7108DF4}" type="presParOf" srcId="{2549D4F9-B422-4011-914E-B0217D3A4EBB}" destId="{D460CE34-93A9-455B-8F2A-7CF0912E40FB}" srcOrd="0" destOrd="0" presId="urn:microsoft.com/office/officeart/2005/8/layout/orgChart1"/>
    <dgm:cxn modelId="{DAE5997D-5C5E-4B8D-A7BC-C4E4554B62A5}" type="presParOf" srcId="{2549D4F9-B422-4011-914E-B0217D3A4EBB}" destId="{CC9AE987-018B-4E98-8A13-3E865BC0A23E}" srcOrd="1" destOrd="0" presId="urn:microsoft.com/office/officeart/2005/8/layout/orgChart1"/>
    <dgm:cxn modelId="{FA5605AE-E046-4A50-99A8-93F74ADC59CE}" type="presParOf" srcId="{1856FD4B-6070-4E75-ADEE-B5F00E742F1D}" destId="{350AB2EC-1027-46CE-9F7B-F0F0B241A435}" srcOrd="1" destOrd="0" presId="urn:microsoft.com/office/officeart/2005/8/layout/orgChart1"/>
    <dgm:cxn modelId="{8142A257-36ED-474E-AEE2-D51994B93756}" type="presParOf" srcId="{350AB2EC-1027-46CE-9F7B-F0F0B241A435}" destId="{97FE59DA-D495-4F43-B8C6-9308BA062F9B}" srcOrd="0" destOrd="0" presId="urn:microsoft.com/office/officeart/2005/8/layout/orgChart1"/>
    <dgm:cxn modelId="{0BAB5E5E-E786-4A1E-91A7-16533C707D06}" type="presParOf" srcId="{350AB2EC-1027-46CE-9F7B-F0F0B241A435}" destId="{6AFF7151-04A3-48DB-A502-E7BF6C8254CC}" srcOrd="1" destOrd="0" presId="urn:microsoft.com/office/officeart/2005/8/layout/orgChart1"/>
    <dgm:cxn modelId="{6BDEFD22-EF0A-4EB2-86A5-3C028BC0A5CF}" type="presParOf" srcId="{6AFF7151-04A3-48DB-A502-E7BF6C8254CC}" destId="{A47534E8-2D61-40E8-AF2D-9B54B58422A1}" srcOrd="0" destOrd="0" presId="urn:microsoft.com/office/officeart/2005/8/layout/orgChart1"/>
    <dgm:cxn modelId="{8868EA07-600D-4B3E-B13A-0FB59FA549C7}" type="presParOf" srcId="{A47534E8-2D61-40E8-AF2D-9B54B58422A1}" destId="{76F0E434-70AB-4B24-A428-D145616171FD}" srcOrd="0" destOrd="0" presId="urn:microsoft.com/office/officeart/2005/8/layout/orgChart1"/>
    <dgm:cxn modelId="{7935F0B8-8FA1-4628-94EC-C1069C7DCDC7}" type="presParOf" srcId="{A47534E8-2D61-40E8-AF2D-9B54B58422A1}" destId="{D538D0B5-E28B-4A5A-92DA-006C3798B471}" srcOrd="1" destOrd="0" presId="urn:microsoft.com/office/officeart/2005/8/layout/orgChart1"/>
    <dgm:cxn modelId="{DB3EF4E1-64BC-49A9-9F7F-FA42A37FB45B}" type="presParOf" srcId="{6AFF7151-04A3-48DB-A502-E7BF6C8254CC}" destId="{31E922D3-45C6-4FAB-8E08-B6788D7EF3E9}" srcOrd="1" destOrd="0" presId="urn:microsoft.com/office/officeart/2005/8/layout/orgChart1"/>
    <dgm:cxn modelId="{264DEDE4-C7D3-4031-9BFD-82EC61A68297}" type="presParOf" srcId="{6AFF7151-04A3-48DB-A502-E7BF6C8254CC}" destId="{E495968F-8AA4-48C4-A652-02F7EE2D86AE}" srcOrd="2" destOrd="0" presId="urn:microsoft.com/office/officeart/2005/8/layout/orgChart1"/>
    <dgm:cxn modelId="{22EF48D1-8044-450D-B8B8-A5EA1246629E}" type="presParOf" srcId="{1856FD4B-6070-4E75-ADEE-B5F00E742F1D}" destId="{C49111CC-8086-4A58-BE78-22718A56C1D7}" srcOrd="2" destOrd="0" presId="urn:microsoft.com/office/officeart/2005/8/layout/orgChart1"/>
    <dgm:cxn modelId="{73AF7532-4D25-47B8-8C7F-117B5EE47108}" type="presParOf" srcId="{388885B8-491B-460E-BD02-388AD088F5B2}" destId="{682E8667-7571-4A37-909C-F03E52801DF2}" srcOrd="6" destOrd="0" presId="urn:microsoft.com/office/officeart/2005/8/layout/orgChart1"/>
    <dgm:cxn modelId="{5E89C355-A144-4708-9380-B9B17FF38E1E}" type="presParOf" srcId="{388885B8-491B-460E-BD02-388AD088F5B2}" destId="{A5AB5015-1FDF-489C-9421-A2DF2C7FD303}" srcOrd="7" destOrd="0" presId="urn:microsoft.com/office/officeart/2005/8/layout/orgChart1"/>
    <dgm:cxn modelId="{61E284E5-B368-45AE-8839-B4CA254AF995}" type="presParOf" srcId="{A5AB5015-1FDF-489C-9421-A2DF2C7FD303}" destId="{FAEF2319-1B9A-4C76-924E-B15406244B17}" srcOrd="0" destOrd="0" presId="urn:microsoft.com/office/officeart/2005/8/layout/orgChart1"/>
    <dgm:cxn modelId="{47BC0B57-665F-4723-92AA-257E277BB5F7}" type="presParOf" srcId="{FAEF2319-1B9A-4C76-924E-B15406244B17}" destId="{4139E15C-2487-441E-8B56-C08540768BB6}" srcOrd="0" destOrd="0" presId="urn:microsoft.com/office/officeart/2005/8/layout/orgChart1"/>
    <dgm:cxn modelId="{2B3BED0B-A14A-4001-95E8-44B4255E81D6}" type="presParOf" srcId="{FAEF2319-1B9A-4C76-924E-B15406244B17}" destId="{CA968EE7-C7E3-4DAB-BD0F-29F93F62B98D}" srcOrd="1" destOrd="0" presId="urn:microsoft.com/office/officeart/2005/8/layout/orgChart1"/>
    <dgm:cxn modelId="{5DB03C7E-144E-41C3-BC0E-F216569A805F}" type="presParOf" srcId="{A5AB5015-1FDF-489C-9421-A2DF2C7FD303}" destId="{B935B3FD-BA0D-49EF-B644-D59E4EE875AA}" srcOrd="1" destOrd="0" presId="urn:microsoft.com/office/officeart/2005/8/layout/orgChart1"/>
    <dgm:cxn modelId="{05DAC6D3-FA06-4917-BD7A-74E1BE172398}" type="presParOf" srcId="{B935B3FD-BA0D-49EF-B644-D59E4EE875AA}" destId="{F4352A0A-4CED-4035-A189-C95502611676}" srcOrd="0" destOrd="0" presId="urn:microsoft.com/office/officeart/2005/8/layout/orgChart1"/>
    <dgm:cxn modelId="{1EA8F6BA-43DB-4857-A4B3-CEC9991F338D}" type="presParOf" srcId="{B935B3FD-BA0D-49EF-B644-D59E4EE875AA}" destId="{15FD0049-A538-4FB5-89A8-83F44592CFA2}" srcOrd="1" destOrd="0" presId="urn:microsoft.com/office/officeart/2005/8/layout/orgChart1"/>
    <dgm:cxn modelId="{BDE7FDB0-09B8-4817-970C-B9C40A0A4972}" type="presParOf" srcId="{15FD0049-A538-4FB5-89A8-83F44592CFA2}" destId="{343C6C7C-D449-485E-9AB7-F905DC7000A3}" srcOrd="0" destOrd="0" presId="urn:microsoft.com/office/officeart/2005/8/layout/orgChart1"/>
    <dgm:cxn modelId="{E836633A-ACB3-46E7-981E-463786BB3DDB}" type="presParOf" srcId="{343C6C7C-D449-485E-9AB7-F905DC7000A3}" destId="{A5DFA9EA-329C-49B1-A5FF-CBC2D5E87324}" srcOrd="0" destOrd="0" presId="urn:microsoft.com/office/officeart/2005/8/layout/orgChart1"/>
    <dgm:cxn modelId="{413000C1-0B61-464D-9D29-EB5C8CA69054}" type="presParOf" srcId="{343C6C7C-D449-485E-9AB7-F905DC7000A3}" destId="{F7AADA2F-4DA7-479B-95BF-8F107CBE9CB3}" srcOrd="1" destOrd="0" presId="urn:microsoft.com/office/officeart/2005/8/layout/orgChart1"/>
    <dgm:cxn modelId="{55E64527-AA5E-4757-AEF6-BFA574388EB7}" type="presParOf" srcId="{15FD0049-A538-4FB5-89A8-83F44592CFA2}" destId="{2CE995B6-5722-4261-8835-93135716BC5B}" srcOrd="1" destOrd="0" presId="urn:microsoft.com/office/officeart/2005/8/layout/orgChart1"/>
    <dgm:cxn modelId="{48F5DAA0-7414-4407-8350-B2A9C010549C}" type="presParOf" srcId="{15FD0049-A538-4FB5-89A8-83F44592CFA2}" destId="{B1079478-920B-4680-A5B4-CA77144F508B}" srcOrd="2" destOrd="0" presId="urn:microsoft.com/office/officeart/2005/8/layout/orgChart1"/>
    <dgm:cxn modelId="{5B01502D-E0D4-4F49-9B59-01FAD97CC82E}" type="presParOf" srcId="{A5AB5015-1FDF-489C-9421-A2DF2C7FD303}" destId="{A1BC12E1-AA6E-4D75-A0A1-465B40960C0D}" srcOrd="2" destOrd="0" presId="urn:microsoft.com/office/officeart/2005/8/layout/orgChart1"/>
    <dgm:cxn modelId="{DF71E954-BB1D-43BA-8797-B00BC16CA6FD}" type="presParOf" srcId="{388885B8-491B-460E-BD02-388AD088F5B2}" destId="{611BCEA6-7255-4AB9-A3E0-D8D6EC3ECB87}" srcOrd="8" destOrd="0" presId="urn:microsoft.com/office/officeart/2005/8/layout/orgChart1"/>
    <dgm:cxn modelId="{FB214236-4443-46A2-A69B-08DCD48FCCDB}" type="presParOf" srcId="{388885B8-491B-460E-BD02-388AD088F5B2}" destId="{602E6F51-0A8F-44F5-A76F-9368EC882F1E}" srcOrd="9" destOrd="0" presId="urn:microsoft.com/office/officeart/2005/8/layout/orgChart1"/>
    <dgm:cxn modelId="{71B28050-B392-4B43-86D0-57F1C11E8A7E}" type="presParOf" srcId="{602E6F51-0A8F-44F5-A76F-9368EC882F1E}" destId="{1758E5C8-496A-4E31-A5C3-2333F95C78CC}" srcOrd="0" destOrd="0" presId="urn:microsoft.com/office/officeart/2005/8/layout/orgChart1"/>
    <dgm:cxn modelId="{EC148FA8-42F3-433A-B292-548E6C6CCD04}" type="presParOf" srcId="{1758E5C8-496A-4E31-A5C3-2333F95C78CC}" destId="{409A6ECF-5114-40D6-A9FE-0B415045C025}" srcOrd="0" destOrd="0" presId="urn:microsoft.com/office/officeart/2005/8/layout/orgChart1"/>
    <dgm:cxn modelId="{6B207A26-5D65-4176-9FAB-32A022489858}" type="presParOf" srcId="{1758E5C8-496A-4E31-A5C3-2333F95C78CC}" destId="{D2F742D9-92C8-4244-9F09-09296679EC81}" srcOrd="1" destOrd="0" presId="urn:microsoft.com/office/officeart/2005/8/layout/orgChart1"/>
    <dgm:cxn modelId="{8C9DE12E-2401-451C-8438-5CCB3596BDD3}" type="presParOf" srcId="{602E6F51-0A8F-44F5-A76F-9368EC882F1E}" destId="{239E25AA-5C7A-4B91-917F-442BC9A4299B}" srcOrd="1" destOrd="0" presId="urn:microsoft.com/office/officeart/2005/8/layout/orgChart1"/>
    <dgm:cxn modelId="{0A997F57-F751-42F5-B478-15BDB1363A4A}" type="presParOf" srcId="{239E25AA-5C7A-4B91-917F-442BC9A4299B}" destId="{2BABB917-D240-40B2-A124-5493ECE7ED23}" srcOrd="0" destOrd="0" presId="urn:microsoft.com/office/officeart/2005/8/layout/orgChart1"/>
    <dgm:cxn modelId="{DA7E91BE-3DE0-4334-880A-525F5308DB25}" type="presParOf" srcId="{239E25AA-5C7A-4B91-917F-442BC9A4299B}" destId="{5C1FD077-DC77-4511-9875-152E03690B98}" srcOrd="1" destOrd="0" presId="urn:microsoft.com/office/officeart/2005/8/layout/orgChart1"/>
    <dgm:cxn modelId="{5339BCD8-E5DA-45D1-B68F-69DF9B4C5DC9}" type="presParOf" srcId="{5C1FD077-DC77-4511-9875-152E03690B98}" destId="{646B6031-F56C-4F30-A8C9-6A0982F2CF8D}" srcOrd="0" destOrd="0" presId="urn:microsoft.com/office/officeart/2005/8/layout/orgChart1"/>
    <dgm:cxn modelId="{89B5172D-A7FA-40F3-B01F-A5A795B49F99}" type="presParOf" srcId="{646B6031-F56C-4F30-A8C9-6A0982F2CF8D}" destId="{620028DC-C121-4622-87D1-538C821EACD3}" srcOrd="0" destOrd="0" presId="urn:microsoft.com/office/officeart/2005/8/layout/orgChart1"/>
    <dgm:cxn modelId="{923786B6-55CC-4EB1-81F9-6C93FDF93E51}" type="presParOf" srcId="{646B6031-F56C-4F30-A8C9-6A0982F2CF8D}" destId="{ED77B7DC-E76A-44E1-B732-AAEAE4EE5B03}" srcOrd="1" destOrd="0" presId="urn:microsoft.com/office/officeart/2005/8/layout/orgChart1"/>
    <dgm:cxn modelId="{037DFD36-20CB-4C9E-A0AF-C8FDF3EA27DC}" type="presParOf" srcId="{5C1FD077-DC77-4511-9875-152E03690B98}" destId="{F1169B37-7590-471A-A63F-7C640DD73824}" srcOrd="1" destOrd="0" presId="urn:microsoft.com/office/officeart/2005/8/layout/orgChart1"/>
    <dgm:cxn modelId="{1EAA137C-0057-4166-8738-7863C266BE7C}" type="presParOf" srcId="{5C1FD077-DC77-4511-9875-152E03690B98}" destId="{A376E84F-4EA4-44F6-B8C8-310559964876}" srcOrd="2" destOrd="0" presId="urn:microsoft.com/office/officeart/2005/8/layout/orgChart1"/>
    <dgm:cxn modelId="{7E6B3FD7-CFF3-4150-8EE9-9CE512223079}" type="presParOf" srcId="{602E6F51-0A8F-44F5-A76F-9368EC882F1E}" destId="{88494366-3885-4665-87F3-DCDE02D39160}" srcOrd="2" destOrd="0" presId="urn:microsoft.com/office/officeart/2005/8/layout/orgChart1"/>
    <dgm:cxn modelId="{B1DBA14C-AD55-4D42-9B55-2DEB6C957E94}" type="presParOf" srcId="{3E193A4A-2C01-4CD9-9E50-508A3620DECA}" destId="{3FBDB905-48B4-412C-B4F3-BEE368A1F202}" srcOrd="2" destOrd="0" presId="urn:microsoft.com/office/officeart/2005/8/layout/orgChart1"/>
  </dgm:cxnLst>
  <dgm:bg/>
  <dgm:whole>
    <a:ln>
      <a:noFill/>
    </a:ln>
  </dgm:whole>
  <dgm:extLst>
    <a:ext uri="http://schemas.microsoft.com/office/drawing/2008/diagram">
      <dsp:dataModelExt xmlns:dsp="http://schemas.microsoft.com/office/drawing/2008/diagram" relId="rId9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BABB917-D240-40B2-A124-5493ECE7ED23}">
      <dsp:nvSpPr>
        <dsp:cNvPr id="0" name=""/>
        <dsp:cNvSpPr/>
      </dsp:nvSpPr>
      <dsp:spPr>
        <a:xfrm>
          <a:off x="9085788" y="4724857"/>
          <a:ext cx="275864" cy="84598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45984"/>
              </a:lnTo>
              <a:lnTo>
                <a:pt x="275864" y="845984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11BCEA6-7255-4AB9-A3E0-D8D6EC3ECB87}">
      <dsp:nvSpPr>
        <dsp:cNvPr id="0" name=""/>
        <dsp:cNvSpPr/>
      </dsp:nvSpPr>
      <dsp:spPr>
        <a:xfrm>
          <a:off x="5303611" y="3325019"/>
          <a:ext cx="4517815" cy="48028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87184"/>
              </a:lnTo>
              <a:lnTo>
                <a:pt x="4517815" y="287184"/>
              </a:lnTo>
              <a:lnTo>
                <a:pt x="4517815" y="480289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4352A0A-4CED-4035-A189-C95502611676}">
      <dsp:nvSpPr>
        <dsp:cNvPr id="0" name=""/>
        <dsp:cNvSpPr/>
      </dsp:nvSpPr>
      <dsp:spPr>
        <a:xfrm>
          <a:off x="6860480" y="4724857"/>
          <a:ext cx="275864" cy="84598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45984"/>
              </a:lnTo>
              <a:lnTo>
                <a:pt x="275864" y="845984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82E8667-7571-4A37-909C-F03E52801DF2}">
      <dsp:nvSpPr>
        <dsp:cNvPr id="0" name=""/>
        <dsp:cNvSpPr/>
      </dsp:nvSpPr>
      <dsp:spPr>
        <a:xfrm>
          <a:off x="5303611" y="3325019"/>
          <a:ext cx="2292507" cy="48028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87184"/>
              </a:lnTo>
              <a:lnTo>
                <a:pt x="2292507" y="287184"/>
              </a:lnTo>
              <a:lnTo>
                <a:pt x="2292507" y="480289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7FE59DA-D495-4F43-B8C6-9308BA062F9B}">
      <dsp:nvSpPr>
        <dsp:cNvPr id="0" name=""/>
        <dsp:cNvSpPr/>
      </dsp:nvSpPr>
      <dsp:spPr>
        <a:xfrm>
          <a:off x="4635173" y="4724857"/>
          <a:ext cx="275864" cy="84598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45984"/>
              </a:lnTo>
              <a:lnTo>
                <a:pt x="275864" y="845984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67015C9-06E7-4156-9ACF-549B9C9155E7}">
      <dsp:nvSpPr>
        <dsp:cNvPr id="0" name=""/>
        <dsp:cNvSpPr/>
      </dsp:nvSpPr>
      <dsp:spPr>
        <a:xfrm>
          <a:off x="5257891" y="3325019"/>
          <a:ext cx="91440" cy="480289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87184"/>
              </a:lnTo>
              <a:lnTo>
                <a:pt x="112920" y="287184"/>
              </a:lnTo>
              <a:lnTo>
                <a:pt x="112920" y="480289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74E4198-E6C3-461A-8D9B-4B11CEB2525C}">
      <dsp:nvSpPr>
        <dsp:cNvPr id="0" name=""/>
        <dsp:cNvSpPr/>
      </dsp:nvSpPr>
      <dsp:spPr>
        <a:xfrm>
          <a:off x="3145505" y="3325019"/>
          <a:ext cx="2158106" cy="480289"/>
        </a:xfrm>
        <a:custGeom>
          <a:avLst/>
          <a:gdLst/>
          <a:ahLst/>
          <a:cxnLst/>
          <a:rect l="0" t="0" r="0" b="0"/>
          <a:pathLst>
            <a:path>
              <a:moveTo>
                <a:pt x="2158106" y="0"/>
              </a:moveTo>
              <a:lnTo>
                <a:pt x="2158106" y="287184"/>
              </a:lnTo>
              <a:lnTo>
                <a:pt x="0" y="287184"/>
              </a:lnTo>
              <a:lnTo>
                <a:pt x="0" y="480289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2EC1EA8-A4C7-40F7-9656-FF8BD5BB56F5}">
      <dsp:nvSpPr>
        <dsp:cNvPr id="0" name=""/>
        <dsp:cNvSpPr/>
      </dsp:nvSpPr>
      <dsp:spPr>
        <a:xfrm>
          <a:off x="184559" y="4724857"/>
          <a:ext cx="275864" cy="84598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45984"/>
              </a:lnTo>
              <a:lnTo>
                <a:pt x="275864" y="845984"/>
              </a:lnTo>
            </a:path>
          </a:pathLst>
        </a:custGeom>
        <a:noFill/>
        <a:ln w="254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B8623E-C131-493F-AB9E-8DFE1F0CF94F}">
      <dsp:nvSpPr>
        <dsp:cNvPr id="0" name=""/>
        <dsp:cNvSpPr/>
      </dsp:nvSpPr>
      <dsp:spPr>
        <a:xfrm>
          <a:off x="920197" y="3325019"/>
          <a:ext cx="4383413" cy="480289"/>
        </a:xfrm>
        <a:custGeom>
          <a:avLst/>
          <a:gdLst/>
          <a:ahLst/>
          <a:cxnLst/>
          <a:rect l="0" t="0" r="0" b="0"/>
          <a:pathLst>
            <a:path>
              <a:moveTo>
                <a:pt x="4383413" y="0"/>
              </a:moveTo>
              <a:lnTo>
                <a:pt x="4383413" y="287184"/>
              </a:lnTo>
              <a:lnTo>
                <a:pt x="0" y="287184"/>
              </a:lnTo>
              <a:lnTo>
                <a:pt x="0" y="480289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43490F6-6064-45AB-879C-E1C777D19117}">
      <dsp:nvSpPr>
        <dsp:cNvPr id="0" name=""/>
        <dsp:cNvSpPr/>
      </dsp:nvSpPr>
      <dsp:spPr>
        <a:xfrm>
          <a:off x="4384063" y="2405471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4384063" y="2405471"/>
        <a:ext cx="1839096" cy="919548"/>
      </dsp:txXfrm>
    </dsp:sp>
    <dsp:sp modelId="{4F8007BD-741A-480B-986F-1E5147BCC3D0}">
      <dsp:nvSpPr>
        <dsp:cNvPr id="0" name=""/>
        <dsp:cNvSpPr/>
      </dsp:nvSpPr>
      <dsp:spPr>
        <a:xfrm>
          <a:off x="649" y="3805309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649" y="3805309"/>
        <a:ext cx="1839096" cy="919548"/>
      </dsp:txXfrm>
    </dsp:sp>
    <dsp:sp modelId="{0A52C866-ADF2-44FC-B2F1-67CA107372D9}">
      <dsp:nvSpPr>
        <dsp:cNvPr id="0" name=""/>
        <dsp:cNvSpPr/>
      </dsp:nvSpPr>
      <dsp:spPr>
        <a:xfrm>
          <a:off x="460423" y="5111068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460423" y="5111068"/>
        <a:ext cx="1839096" cy="919548"/>
      </dsp:txXfrm>
    </dsp:sp>
    <dsp:sp modelId="{001D0523-5D4E-4C7D-9B1E-63115992B6DB}">
      <dsp:nvSpPr>
        <dsp:cNvPr id="0" name=""/>
        <dsp:cNvSpPr/>
      </dsp:nvSpPr>
      <dsp:spPr>
        <a:xfrm>
          <a:off x="2225956" y="3805309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2225956" y="3805309"/>
        <a:ext cx="1839096" cy="919548"/>
      </dsp:txXfrm>
    </dsp:sp>
    <dsp:sp modelId="{D460CE34-93A9-455B-8F2A-7CF0912E40FB}">
      <dsp:nvSpPr>
        <dsp:cNvPr id="0" name=""/>
        <dsp:cNvSpPr/>
      </dsp:nvSpPr>
      <dsp:spPr>
        <a:xfrm>
          <a:off x="4451263" y="3805309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4451263" y="3805309"/>
        <a:ext cx="1839096" cy="919548"/>
      </dsp:txXfrm>
    </dsp:sp>
    <dsp:sp modelId="{76F0E434-70AB-4B24-A428-D145616171FD}">
      <dsp:nvSpPr>
        <dsp:cNvPr id="0" name=""/>
        <dsp:cNvSpPr/>
      </dsp:nvSpPr>
      <dsp:spPr>
        <a:xfrm>
          <a:off x="4911038" y="5111068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4911038" y="5111068"/>
        <a:ext cx="1839096" cy="919548"/>
      </dsp:txXfrm>
    </dsp:sp>
    <dsp:sp modelId="{4139E15C-2487-441E-8B56-C08540768BB6}">
      <dsp:nvSpPr>
        <dsp:cNvPr id="0" name=""/>
        <dsp:cNvSpPr/>
      </dsp:nvSpPr>
      <dsp:spPr>
        <a:xfrm>
          <a:off x="6676571" y="3805309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6676571" y="3805309"/>
        <a:ext cx="1839096" cy="919548"/>
      </dsp:txXfrm>
    </dsp:sp>
    <dsp:sp modelId="{A5DFA9EA-329C-49B1-A5FF-CBC2D5E87324}">
      <dsp:nvSpPr>
        <dsp:cNvPr id="0" name=""/>
        <dsp:cNvSpPr/>
      </dsp:nvSpPr>
      <dsp:spPr>
        <a:xfrm>
          <a:off x="7136345" y="5111068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7136345" y="5111068"/>
        <a:ext cx="1839096" cy="919548"/>
      </dsp:txXfrm>
    </dsp:sp>
    <dsp:sp modelId="{409A6ECF-5114-40D6-A9FE-0B415045C025}">
      <dsp:nvSpPr>
        <dsp:cNvPr id="0" name=""/>
        <dsp:cNvSpPr/>
      </dsp:nvSpPr>
      <dsp:spPr>
        <a:xfrm>
          <a:off x="8901878" y="3805309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8901878" y="3805309"/>
        <a:ext cx="1839096" cy="919548"/>
      </dsp:txXfrm>
    </dsp:sp>
    <dsp:sp modelId="{620028DC-C121-4622-87D1-538C821EACD3}">
      <dsp:nvSpPr>
        <dsp:cNvPr id="0" name=""/>
        <dsp:cNvSpPr/>
      </dsp:nvSpPr>
      <dsp:spPr>
        <a:xfrm>
          <a:off x="9361652" y="5111068"/>
          <a:ext cx="1839096" cy="919548"/>
        </a:xfrm>
        <a:prstGeom prst="rect">
          <a:avLst/>
        </a:prstGeom>
        <a:gradFill rotWithShape="0">
          <a:gsLst>
            <a:gs pos="0">
              <a:schemeClr val="lt1">
                <a:hueOff val="0"/>
                <a:satOff val="0"/>
                <a:lumOff val="0"/>
                <a:alphaOff val="0"/>
                <a:tint val="50000"/>
                <a:satMod val="300000"/>
              </a:schemeClr>
            </a:gs>
            <a:gs pos="35000">
              <a:schemeClr val="lt1">
                <a:hueOff val="0"/>
                <a:satOff val="0"/>
                <a:lumOff val="0"/>
                <a:alphaOff val="0"/>
                <a:tint val="37000"/>
                <a:satMod val="300000"/>
              </a:schemeClr>
            </a:gs>
            <a:gs pos="100000">
              <a:schemeClr val="lt1">
                <a:hueOff val="0"/>
                <a:satOff val="0"/>
                <a:lumOff val="0"/>
                <a:alphaOff val="0"/>
                <a:tint val="15000"/>
                <a:satMod val="350000"/>
              </a:schemeClr>
            </a:gs>
          </a:gsLst>
          <a:lin ang="16200000" scaled="1"/>
        </a:gra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b="0" kern="1200">
            <a:solidFill>
              <a:sysClr val="windowText" lastClr="000000"/>
            </a:solidFill>
          </a:endParaRPr>
        </a:p>
      </dsp:txBody>
      <dsp:txXfrm>
        <a:off x="9361652" y="5111068"/>
        <a:ext cx="1839096" cy="919548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orgChart1">
  <dgm:title val=""/>
  <dgm:desc val=""/>
  <dgm:catLst>
    <dgm:cat type="hierarchy" pri="1000"/>
    <dgm:cat type="convert" pri="60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choose name="Name41">
                            <dgm:if name="Name42" axis="par des" func="maxDepth" op="lte" val="1">
                              <dgm:choose name="Name43">
                                <dgm:if name="Name44" axis="par ch" ptType="node asst" func="cnt" op="gte" val="1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</dgm:alg>
                                </dgm:if>
                                <dgm:else name="Name45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  <dgm:param type="srcNode" val="rootConnector"/>
                                  </dgm:alg>
                                </dgm:else>
                              </dgm:choose>
                            </dgm:if>
                            <dgm:else name="Name46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tCtr"/>
                                <dgm:param type="bendPt" val="end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7" func="var" arg="hierBranch" op="equ" val="hang">
                    <dgm:layoutNode name="Name4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9">
                    <dgm:layoutNode name="Name50">
                      <dgm:choose name="Name51">
                        <dgm:if name="Name52" axis="self" func="depth" op="lte" val="2">
                          <dgm:choose name="Name53">
                            <dgm:if name="Name54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5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6">
                          <dgm:choose name="Name57">
                            <dgm:if name="Name5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0">
                  <dgm:if name="Name61" func="var" arg="hierBranch" op="equ" val="l">
                    <dgm:choose name="Name62">
                      <dgm:if name="Name63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4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5" func="var" arg="hierBranch" op="equ" val="r">
                    <dgm:choose name="Name66">
                      <dgm:if name="Name67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8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9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70" func="var" arg="hierBranch" op="equ" val="init">
                    <dgm:choose name="Name71">
                      <dgm:if name="Name72" axis="des" func="maxDepth" op="lte" val="1">
                        <dgm:choose name="Name73">
                          <dgm:if name="Name74" axis="ch" ptType="asst" func="cnt" op="gte" val="1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65"/>
                            </dgm:constrLst>
                          </dgm:if>
                          <dgm:else name="Name75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25"/>
                            </dgm:constrLst>
                          </dgm:else>
                        </dgm:choose>
                      </dgm:if>
                      <dgm:else name="Name76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77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78">
                    <dgm:if name="Name79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0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1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2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3">
                    <dgm:if name="Name84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85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86" func="var" arg="hierBranch" op="equ" val="hang">
                      <dgm:choose name="Name87">
                        <dgm:if name="Name88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89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90" func="var" arg="hierBranch" op="equ" val="std">
                      <dgm:choose name="Name91">
                        <dgm:if name="Name92" func="var" arg="dir" op="equ" val="norm">
                          <dgm:alg type="hierChild"/>
                        </dgm:if>
                        <dgm:else name="Name93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init">
                      <dgm:choose name="Name95">
                        <dgm:if name="Name96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97">
                          <dgm:choose name="Name98">
                            <dgm:if name="Name99" func="var" arg="dir" op="equ" val="norm">
                              <dgm:alg type="hierChild"/>
                            </dgm:if>
                            <dgm:else name="Name100">
                              <dgm:alg type="hierChild">
                                <dgm:param type="linDir" val="fromR"/>
                              </dgm:alg>
                            </dgm:else>
                          </dgm:choose>
                        </dgm:else>
                      </dgm:choose>
                    </dgm:if>
                    <dgm:else name="Name10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2" ref="rep2a"/>
                </dgm:layoutNode>
                <dgm:layoutNode name="hierChild5">
                  <dgm:choose name="Name103">
                    <dgm:if name="Name10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0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b"/>
                </dgm:layoutNode>
              </dgm:layoutNode>
            </dgm:forEach>
          </dgm:layoutNode>
          <dgm:layoutNode name="hierChild3">
            <dgm:choose name="Name107">
              <dgm:if name="Name108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109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0" axis="precedSib" ptType="parTrans" st="-1" cnt="1">
                <dgm:layoutNode name="Name111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2">
                  <dgm:if name="Name113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4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5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6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17" func="var" arg="hierBranch" op="equ" val="init">
                    <dgm:choose name="Name118">
                      <dgm:if name="Name119" axis="des" func="maxDepth" op="l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120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121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22">
                    <dgm:if name="Name123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4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5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26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27">
                    <dgm:if name="Name128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29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30" func="var" arg="hierBranch" op="equ" val="hang">
                      <dgm:choose name="Name131">
                        <dgm:if name="Name132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33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34" func="var" arg="hierBranch" op="equ" val="std">
                      <dgm:choose name="Name135">
                        <dgm:if name="Name136" func="var" arg="dir" op="equ" val="norm">
                          <dgm:alg type="hierChild"/>
                        </dgm:if>
                        <dgm:else name="Name137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38" func="var" arg="hierBranch" op="equ" val="init">
                      <dgm:choose name="Name139">
                        <dgm:if name="Name140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141">
                          <dgm:alg type="hierChild"/>
                        </dgm:else>
                      </dgm:choose>
                    </dgm:if>
                    <dgm:else name="Name142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3" ref="rep2a"/>
                </dgm:layoutNode>
                <dgm:layoutNode name="hierChild7">
                  <dgm:choose name="Name144">
                    <dgm:if name="Name145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46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7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-Plano_Riscos'!A1"/><Relationship Id="rId3" Type="http://schemas.openxmlformats.org/officeDocument/2006/relationships/image" Target="../media/image3.png"/><Relationship Id="rId7" Type="http://schemas.openxmlformats.org/officeDocument/2006/relationships/hyperlink" Target="#'P-Responsabilidade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P-EAP'!A1"/><Relationship Id="rId11" Type="http://schemas.openxmlformats.org/officeDocument/2006/relationships/image" Target="../media/image6.png"/><Relationship Id="rId5" Type="http://schemas.openxmlformats.org/officeDocument/2006/relationships/hyperlink" Target="#'P-Escopo'!A1"/><Relationship Id="rId10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hyperlink" Target="#In&#237;cioW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8.png"/><Relationship Id="rId7" Type="http://schemas.openxmlformats.org/officeDocument/2006/relationships/image" Target="../media/image9.png"/><Relationship Id="rId2" Type="http://schemas.openxmlformats.org/officeDocument/2006/relationships/image" Target="../media/image7.png"/><Relationship Id="rId1" Type="http://schemas.openxmlformats.org/officeDocument/2006/relationships/image" Target="NULL"/><Relationship Id="rId6" Type="http://schemas.openxmlformats.org/officeDocument/2006/relationships/hyperlink" Target="#'P-EAP'!A1"/><Relationship Id="rId5" Type="http://schemas.openxmlformats.org/officeDocument/2006/relationships/image" Target="../media/image5.jpeg"/><Relationship Id="rId4" Type="http://schemas.openxmlformats.org/officeDocument/2006/relationships/hyperlink" Target="#'P-Plano do projet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Colors" Target="../diagrams/colors1.xml"/><Relationship Id="rId3" Type="http://schemas.openxmlformats.org/officeDocument/2006/relationships/hyperlink" Target="#'P-Escopo'!A1"/><Relationship Id="rId7" Type="http://schemas.openxmlformats.org/officeDocument/2006/relationships/diagramQuickStyle" Target="../diagrams/quickStyle1.xml"/><Relationship Id="rId2" Type="http://schemas.openxmlformats.org/officeDocument/2006/relationships/image" Target="../media/image5.jpeg"/><Relationship Id="rId1" Type="http://schemas.openxmlformats.org/officeDocument/2006/relationships/hyperlink" Target="#'P-Plano do projeto'!A1"/><Relationship Id="rId6" Type="http://schemas.openxmlformats.org/officeDocument/2006/relationships/diagramLayout" Target="../diagrams/layout1.xml"/><Relationship Id="rId5" Type="http://schemas.openxmlformats.org/officeDocument/2006/relationships/diagramData" Target="../diagrams/data1.xml"/><Relationship Id="rId4" Type="http://schemas.openxmlformats.org/officeDocument/2006/relationships/image" Target="../media/image6.png"/><Relationship Id="rId9" Type="http://schemas.microsoft.com/office/2007/relationships/diagramDrawing" Target="../diagrams/drawing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552450</xdr:colOff>
      <xdr:row>2</xdr:row>
      <xdr:rowOff>0</xdr:rowOff>
    </xdr:from>
    <xdr:ext cx="184731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047750" y="495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</xdr:col>
      <xdr:colOff>106876</xdr:colOff>
      <xdr:row>5</xdr:row>
      <xdr:rowOff>9524</xdr:rowOff>
    </xdr:from>
    <xdr:to>
      <xdr:col>2</xdr:col>
      <xdr:colOff>459301</xdr:colOff>
      <xdr:row>6</xdr:row>
      <xdr:rowOff>171449</xdr:rowOff>
    </xdr:to>
    <xdr:pic>
      <xdr:nvPicPr>
        <xdr:cNvPr id="12" name="Imagem 11" descr="https://static.thenounproject.com/png/2019687-200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293" y="1300691"/>
          <a:ext cx="3524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91288</xdr:colOff>
      <xdr:row>6</xdr:row>
      <xdr:rowOff>167432</xdr:rowOff>
    </xdr:from>
    <xdr:to>
      <xdr:col>2</xdr:col>
      <xdr:colOff>406977</xdr:colOff>
      <xdr:row>8</xdr:row>
      <xdr:rowOff>173181</xdr:rowOff>
    </xdr:to>
    <xdr:pic>
      <xdr:nvPicPr>
        <xdr:cNvPr id="15" name="Imagem 14" descr="https://static.thenounproject.com/png/488980-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56" y="1656796"/>
          <a:ext cx="315689" cy="386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68776</xdr:colOff>
      <xdr:row>9</xdr:row>
      <xdr:rowOff>9525</xdr:rowOff>
    </xdr:from>
    <xdr:to>
      <xdr:col>2</xdr:col>
      <xdr:colOff>430726</xdr:colOff>
      <xdr:row>10</xdr:row>
      <xdr:rowOff>180975</xdr:rowOff>
    </xdr:to>
    <xdr:pic>
      <xdr:nvPicPr>
        <xdr:cNvPr id="16" name="Imagem 15" descr="https://static.thenounproject.com/png/1142629-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344" y="2070389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458532</xdr:colOff>
      <xdr:row>10</xdr:row>
      <xdr:rowOff>148071</xdr:rowOff>
    </xdr:from>
    <xdr:to>
      <xdr:col>2</xdr:col>
      <xdr:colOff>500769</xdr:colOff>
      <xdr:row>13</xdr:row>
      <xdr:rowOff>0</xdr:rowOff>
    </xdr:to>
    <xdr:pic>
      <xdr:nvPicPr>
        <xdr:cNvPr id="17" name="Imagem 16" descr="https://static.thenounproject.com/png/1440166-200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168" y="2399435"/>
          <a:ext cx="501169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8659</xdr:colOff>
      <xdr:row>5</xdr:row>
      <xdr:rowOff>19050</xdr:rowOff>
    </xdr:from>
    <xdr:to>
      <xdr:col>4</xdr:col>
      <xdr:colOff>1838325</xdr:colOff>
      <xdr:row>6</xdr:row>
      <xdr:rowOff>142875</xdr:rowOff>
    </xdr:to>
    <xdr:sp macro="" textlink="">
      <xdr:nvSpPr>
        <xdr:cNvPr id="19" name="Text Box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>
          <a:spLocks noChangeArrowheads="1"/>
        </xdr:cNvSpPr>
      </xdr:nvSpPr>
      <xdr:spPr bwMode="auto">
        <a:xfrm>
          <a:off x="614795" y="1387186"/>
          <a:ext cx="3059257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="horz" wrap="square" lIns="91440" tIns="45720" rIns="91440" bIns="45720" numCol="1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9pPr>
        </a:lstStyle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pt-BR" sz="1000" b="0" i="0" u="none" strike="noStrike" cap="none" normalizeH="0" baseline="0">
              <a:ln>
                <a:noFill/>
              </a:ln>
              <a:solidFill>
                <a:srgbClr val="0066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Escopo do projeto</a:t>
          </a:r>
        </a:p>
      </xdr:txBody>
    </xdr:sp>
    <xdr:clientData/>
  </xdr:twoCellAnchor>
  <xdr:twoCellAnchor>
    <xdr:from>
      <xdr:col>2</xdr:col>
      <xdr:colOff>428625</xdr:colOff>
      <xdr:row>7</xdr:row>
      <xdr:rowOff>38100</xdr:rowOff>
    </xdr:from>
    <xdr:to>
      <xdr:col>4</xdr:col>
      <xdr:colOff>2190750</xdr:colOff>
      <xdr:row>8</xdr:row>
      <xdr:rowOff>161925</xdr:rowOff>
    </xdr:to>
    <xdr:sp macro="" textlink="">
      <xdr:nvSpPr>
        <xdr:cNvPr id="20" name="Text Box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575830" y="1787236"/>
          <a:ext cx="3450647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="horz" wrap="square" lIns="91440" tIns="45720" rIns="91440" bIns="45720" numCol="1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9pPr>
        </a:lstStyle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pt-BR" sz="1000" b="0" i="0" u="none" strike="noStrike" cap="none" normalizeH="0" baseline="0">
              <a:ln>
                <a:noFill/>
              </a:ln>
              <a:solidFill>
                <a:srgbClr val="0066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Estrutura Analítica do Projeto (EAP)</a:t>
          </a:r>
        </a:p>
      </xdr:txBody>
    </xdr:sp>
    <xdr:clientData/>
  </xdr:twoCellAnchor>
  <xdr:twoCellAnchor>
    <xdr:from>
      <xdr:col>2</xdr:col>
      <xdr:colOff>450273</xdr:colOff>
      <xdr:row>9</xdr:row>
      <xdr:rowOff>38100</xdr:rowOff>
    </xdr:from>
    <xdr:to>
      <xdr:col>5</xdr:col>
      <xdr:colOff>2</xdr:colOff>
      <xdr:row>10</xdr:row>
      <xdr:rowOff>161925</xdr:rowOff>
    </xdr:to>
    <xdr:sp macro="" textlink="">
      <xdr:nvSpPr>
        <xdr:cNvPr id="21" name="Text Box 2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>
          <a:spLocks noChangeArrowheads="1"/>
        </xdr:cNvSpPr>
      </xdr:nvSpPr>
      <xdr:spPr bwMode="auto">
        <a:xfrm>
          <a:off x="597478" y="2168236"/>
          <a:ext cx="2433206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="horz" wrap="square" lIns="91440" tIns="45720" rIns="91440" bIns="45720" numCol="1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9pPr>
        </a:lstStyle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pt-BR" sz="1000" b="0" i="0" u="none" strike="noStrike" cap="none" normalizeH="0" baseline="0">
              <a:ln>
                <a:noFill/>
              </a:ln>
              <a:solidFill>
                <a:srgbClr val="0066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Plano de comunicação</a:t>
          </a:r>
        </a:p>
      </xdr:txBody>
    </xdr:sp>
    <xdr:clientData/>
  </xdr:twoCellAnchor>
  <xdr:twoCellAnchor>
    <xdr:from>
      <xdr:col>2</xdr:col>
      <xdr:colOff>450272</xdr:colOff>
      <xdr:row>11</xdr:row>
      <xdr:rowOff>47625</xdr:rowOff>
    </xdr:from>
    <xdr:to>
      <xdr:col>4</xdr:col>
      <xdr:colOff>1439334</xdr:colOff>
      <xdr:row>12</xdr:row>
      <xdr:rowOff>171450</xdr:rowOff>
    </xdr:to>
    <xdr:sp macro="" textlink="">
      <xdr:nvSpPr>
        <xdr:cNvPr id="23" name="Text Box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>
          <a:spLocks noChangeArrowheads="1"/>
        </xdr:cNvSpPr>
      </xdr:nvSpPr>
      <xdr:spPr bwMode="auto">
        <a:xfrm>
          <a:off x="947689" y="2481792"/>
          <a:ext cx="2692978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="horz" wrap="square" lIns="91440" tIns="45720" rIns="91440" bIns="45720" numCol="1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Calibri" pitchFamily="34" charset="0"/>
              <a:ea typeface="MS PGothic" pitchFamily="34" charset="-128"/>
              <a:cs typeface="+mn-cs"/>
            </a:defRPr>
          </a:lvl9pPr>
        </a:lstStyle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pt-BR" sz="1000" b="0" i="0" u="none" strike="noStrike" cap="none" normalizeH="0" baseline="0">
              <a:ln>
                <a:noFill/>
              </a:ln>
              <a:solidFill>
                <a:srgbClr val="0066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Plano de riscos</a:t>
          </a:r>
        </a:p>
      </xdr:txBody>
    </xdr:sp>
    <xdr:clientData/>
  </xdr:twoCellAnchor>
  <xdr:absoluteAnchor>
    <xdr:pos x="5567795" y="155863"/>
    <xdr:ext cx="891888" cy="406028"/>
    <xdr:grpSp>
      <xdr:nvGrpSpPr>
        <xdr:cNvPr id="14" name="Grup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5567795" y="155863"/>
          <a:ext cx="891888" cy="406028"/>
          <a:chOff x="95255" y="154781"/>
          <a:chExt cx="930542" cy="432000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absoluteAnchor>
  <xdr:twoCellAnchor editAs="oneCell">
    <xdr:from>
      <xdr:col>1</xdr:col>
      <xdr:colOff>135199</xdr:colOff>
      <xdr:row>1</xdr:row>
      <xdr:rowOff>103365</xdr:rowOff>
    </xdr:from>
    <xdr:to>
      <xdr:col>3</xdr:col>
      <xdr:colOff>638665</xdr:colOff>
      <xdr:row>1</xdr:row>
      <xdr:rowOff>526950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FAE29C7A-173E-40DF-8E49-0C3ABC8B6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9835" y="138001"/>
          <a:ext cx="1464625" cy="4235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552450</xdr:colOff>
      <xdr:row>2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47750" y="495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2</xdr:col>
      <xdr:colOff>38100</xdr:colOff>
      <xdr:row>5</xdr:row>
      <xdr:rowOff>0</xdr:rowOff>
    </xdr:from>
    <xdr:to>
      <xdr:col>2</xdr:col>
      <xdr:colOff>247650</xdr:colOff>
      <xdr:row>5</xdr:row>
      <xdr:rowOff>38100</xdr:rowOff>
    </xdr:to>
    <xdr:pic>
      <xdr:nvPicPr>
        <xdr:cNvPr id="17" name="imgMaisAberturaIdentificacao" descr="Plus" hidden="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1181100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19" name="imgMaisAberturaCoordenacao" descr="Plus" hidden="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20" name="imgMaisAberturaCoordenacao" descr="Plus" hidden="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21" name="imgMaisAberturaCoordenacao" descr="Plus" hidden="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22" name="imgMaisAberturaCoordenacao" descr="Plus" hidden="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23" name="imgMaisAberturaCoordenacao" descr="Plus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0</xdr:rowOff>
    </xdr:from>
    <xdr:to>
      <xdr:col>3</xdr:col>
      <xdr:colOff>147700</xdr:colOff>
      <xdr:row>5</xdr:row>
      <xdr:rowOff>161925</xdr:rowOff>
    </xdr:to>
    <xdr:pic>
      <xdr:nvPicPr>
        <xdr:cNvPr id="24" name="imgMaisAberturaCoordenacao" descr="Plus" hidden="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181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47625</xdr:rowOff>
    </xdr:from>
    <xdr:to>
      <xdr:col>3</xdr:col>
      <xdr:colOff>147700</xdr:colOff>
      <xdr:row>5</xdr:row>
      <xdr:rowOff>190500</xdr:rowOff>
    </xdr:to>
    <xdr:pic>
      <xdr:nvPicPr>
        <xdr:cNvPr id="25" name="imgMaisAberturaCoordenacao" descr="Plus" hidden="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28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5</xdr:row>
      <xdr:rowOff>47625</xdr:rowOff>
    </xdr:from>
    <xdr:to>
      <xdr:col>3</xdr:col>
      <xdr:colOff>147700</xdr:colOff>
      <xdr:row>5</xdr:row>
      <xdr:rowOff>190500</xdr:rowOff>
    </xdr:to>
    <xdr:pic>
      <xdr:nvPicPr>
        <xdr:cNvPr id="26" name="imgMaisAberturaCoordenacao" descr="Plus" hidden="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28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7</xdr:row>
      <xdr:rowOff>0</xdr:rowOff>
    </xdr:from>
    <xdr:to>
      <xdr:col>2</xdr:col>
      <xdr:colOff>247650</xdr:colOff>
      <xdr:row>7</xdr:row>
      <xdr:rowOff>38100</xdr:rowOff>
    </xdr:to>
    <xdr:pic>
      <xdr:nvPicPr>
        <xdr:cNvPr id="27" name="imgMaisAberturaIdentificacao" descr="Plus" hidden="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1943100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28" name="imgMaisAberturaCoordenacao" descr="Plus" hidden="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29" name="imgMaisAberturaCoordenacao" descr="Plus" hidden="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30" name="imgMaisAberturaCoordenacao" descr="Plus" hidden="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31" name="imgMaisAberturaCoordenacao" descr="Plus" hidden="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32" name="imgMaisAberturaCoordenacao" descr="Plus" hidden="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0</xdr:rowOff>
    </xdr:from>
    <xdr:to>
      <xdr:col>3</xdr:col>
      <xdr:colOff>147700</xdr:colOff>
      <xdr:row>7</xdr:row>
      <xdr:rowOff>161925</xdr:rowOff>
    </xdr:to>
    <xdr:pic>
      <xdr:nvPicPr>
        <xdr:cNvPr id="33" name="imgMaisAberturaCoordenacao" descr="Plus" hidden="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43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47625</xdr:rowOff>
    </xdr:from>
    <xdr:to>
      <xdr:col>3</xdr:col>
      <xdr:colOff>147700</xdr:colOff>
      <xdr:row>7</xdr:row>
      <xdr:rowOff>190500</xdr:rowOff>
    </xdr:to>
    <xdr:pic>
      <xdr:nvPicPr>
        <xdr:cNvPr id="34" name="imgMaisAberturaCoordenacao" descr="Plus" hidden="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90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7</xdr:row>
      <xdr:rowOff>47625</xdr:rowOff>
    </xdr:from>
    <xdr:to>
      <xdr:col>3</xdr:col>
      <xdr:colOff>147700</xdr:colOff>
      <xdr:row>7</xdr:row>
      <xdr:rowOff>190500</xdr:rowOff>
    </xdr:to>
    <xdr:pic>
      <xdr:nvPicPr>
        <xdr:cNvPr id="35" name="imgMaisAberturaCoordenacao" descr="Plus" hidden="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990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9</xdr:row>
      <xdr:rowOff>0</xdr:rowOff>
    </xdr:from>
    <xdr:to>
      <xdr:col>2</xdr:col>
      <xdr:colOff>247650</xdr:colOff>
      <xdr:row>9</xdr:row>
      <xdr:rowOff>38100</xdr:rowOff>
    </xdr:to>
    <xdr:pic>
      <xdr:nvPicPr>
        <xdr:cNvPr id="36" name="imgMaisAberturaIdentificacao" descr="Plus" hidden="1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2705100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37" name="imgMaisAberturaCoordenacao" descr="Plus" hidden="1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38" name="imgMaisAberturaCoordenacao" descr="Plus" hidden="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39" name="imgMaisAberturaCoordenacao" descr="Plus" hidden="1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40" name="imgMaisAberturaCoordenacao" descr="Plus" hidden="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41" name="imgMaisAberturaCoordenacao" descr="Plus" hidden="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0</xdr:rowOff>
    </xdr:from>
    <xdr:to>
      <xdr:col>3</xdr:col>
      <xdr:colOff>147700</xdr:colOff>
      <xdr:row>9</xdr:row>
      <xdr:rowOff>161925</xdr:rowOff>
    </xdr:to>
    <xdr:pic>
      <xdr:nvPicPr>
        <xdr:cNvPr id="42" name="imgMaisAberturaCoordenacao" descr="Plus" hidden="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05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47625</xdr:rowOff>
    </xdr:from>
    <xdr:to>
      <xdr:col>3</xdr:col>
      <xdr:colOff>147700</xdr:colOff>
      <xdr:row>10</xdr:row>
      <xdr:rowOff>0</xdr:rowOff>
    </xdr:to>
    <xdr:pic>
      <xdr:nvPicPr>
        <xdr:cNvPr id="43" name="imgMaisAberturaCoordenacao" descr="Plus" hidden="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52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9</xdr:row>
      <xdr:rowOff>47625</xdr:rowOff>
    </xdr:from>
    <xdr:to>
      <xdr:col>3</xdr:col>
      <xdr:colOff>147700</xdr:colOff>
      <xdr:row>10</xdr:row>
      <xdr:rowOff>0</xdr:rowOff>
    </xdr:to>
    <xdr:pic>
      <xdr:nvPicPr>
        <xdr:cNvPr id="44" name="imgMaisAberturaCoordenacao" descr="Plus" hidden="1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752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11</xdr:row>
      <xdr:rowOff>0</xdr:rowOff>
    </xdr:from>
    <xdr:to>
      <xdr:col>2</xdr:col>
      <xdr:colOff>247650</xdr:colOff>
      <xdr:row>11</xdr:row>
      <xdr:rowOff>38100</xdr:rowOff>
    </xdr:to>
    <xdr:pic>
      <xdr:nvPicPr>
        <xdr:cNvPr id="45" name="imgMaisAberturaIdentificacao" descr="Plus" hidden="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467100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46" name="imgMaisAberturaCoordenacao" descr="Plus" hidden="1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47" name="imgMaisAberturaCoordenacao" descr="Plus" hidden="1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48" name="imgMaisAberturaCoordenacao" descr="Plus" hidden="1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49" name="imgMaisAberturaCoordenacao" descr="Plus" hidden="1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50" name="imgMaisAberturaCoordenacao" descr="Plus" hidden="1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0</xdr:rowOff>
    </xdr:from>
    <xdr:to>
      <xdr:col>3</xdr:col>
      <xdr:colOff>147700</xdr:colOff>
      <xdr:row>11</xdr:row>
      <xdr:rowOff>161925</xdr:rowOff>
    </xdr:to>
    <xdr:pic>
      <xdr:nvPicPr>
        <xdr:cNvPr id="51" name="imgMaisAberturaCoordenacao" descr="Plus" hidden="1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467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47625</xdr:rowOff>
    </xdr:from>
    <xdr:to>
      <xdr:col>3</xdr:col>
      <xdr:colOff>147700</xdr:colOff>
      <xdr:row>11</xdr:row>
      <xdr:rowOff>190500</xdr:rowOff>
    </xdr:to>
    <xdr:pic>
      <xdr:nvPicPr>
        <xdr:cNvPr id="52" name="imgMaisAberturaCoordenacao" descr="Plus" hidden="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514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11</xdr:row>
      <xdr:rowOff>47625</xdr:rowOff>
    </xdr:from>
    <xdr:to>
      <xdr:col>3</xdr:col>
      <xdr:colOff>147700</xdr:colOff>
      <xdr:row>11</xdr:row>
      <xdr:rowOff>190500</xdr:rowOff>
    </xdr:to>
    <xdr:pic>
      <xdr:nvPicPr>
        <xdr:cNvPr id="53" name="imgMaisAberturaCoordenacao" descr="Plus" hidden="1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3514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13</xdr:row>
      <xdr:rowOff>0</xdr:rowOff>
    </xdr:from>
    <xdr:to>
      <xdr:col>2</xdr:col>
      <xdr:colOff>247650</xdr:colOff>
      <xdr:row>13</xdr:row>
      <xdr:rowOff>38100</xdr:rowOff>
    </xdr:to>
    <xdr:pic>
      <xdr:nvPicPr>
        <xdr:cNvPr id="54" name="imgMaisAberturaIdentificacao" descr="Plus" hidden="1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4229100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55" name="imgMaisAberturaCoordenacao" descr="Plus" hidden="1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56" name="imgMaisAberturaCoordenacao" descr="Plus" hidden="1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57" name="imgMaisAberturaCoordenacao" descr="Plus" hidden="1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58" name="imgMaisAberturaCoordenacao" descr="Plus" hidden="1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59" name="imgMaisAberturaCoordenacao" descr="Plus" hidden="1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0</xdr:rowOff>
    </xdr:from>
    <xdr:to>
      <xdr:col>3</xdr:col>
      <xdr:colOff>147700</xdr:colOff>
      <xdr:row>13</xdr:row>
      <xdr:rowOff>161925</xdr:rowOff>
    </xdr:to>
    <xdr:pic>
      <xdr:nvPicPr>
        <xdr:cNvPr id="60" name="imgMaisAberturaCoordenacao" descr="Plus" hidden="1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29100"/>
          <a:ext cx="5524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47625</xdr:rowOff>
    </xdr:from>
    <xdr:to>
      <xdr:col>3</xdr:col>
      <xdr:colOff>147700</xdr:colOff>
      <xdr:row>13</xdr:row>
      <xdr:rowOff>190500</xdr:rowOff>
    </xdr:to>
    <xdr:pic>
      <xdr:nvPicPr>
        <xdr:cNvPr id="61" name="imgMaisAberturaCoordenacao" descr="Plus" hidden="1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76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38100</xdr:colOff>
      <xdr:row>13</xdr:row>
      <xdr:rowOff>47625</xdr:rowOff>
    </xdr:from>
    <xdr:to>
      <xdr:col>3</xdr:col>
      <xdr:colOff>147700</xdr:colOff>
      <xdr:row>13</xdr:row>
      <xdr:rowOff>190500</xdr:rowOff>
    </xdr:to>
    <xdr:pic>
      <xdr:nvPicPr>
        <xdr:cNvPr id="62" name="imgMaisAberturaCoordenacao" descr="Plus" hidden="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4276725"/>
          <a:ext cx="5524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228600</xdr:rowOff>
    </xdr:to>
    <xdr:pic>
      <xdr:nvPicPr>
        <xdr:cNvPr id="63" name="imgMaisAberturaIdentificacao" descr="Plus" hidden="1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95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249010</xdr:rowOff>
    </xdr:to>
    <xdr:pic>
      <xdr:nvPicPr>
        <xdr:cNvPr id="64" name="imgMaisAberturaCoordenacao" descr="Plus" hidden="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998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65" name="imgMaisAberturaMeta" descr="Plus" hidden="1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66" name="imgMaisAberturaPremissa" descr="Plus" hidden="1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67" name="imgMaisAberturaInterface" descr="Plus" hidden="1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68" name="imgMaisAberturaPremissa" descr="Plus" hidden="1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69" name="imgMaisAberturaPremissa" descr="Plus" hidden="1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70" name="imgMaisAberturaCoordenacao" descr="Plus" hidden="1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71" name="imgMaisAberturaCoordenacao" descr="Plus" hidden="1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2" name="imgMaisAberturaMeta" descr="Plus" hidden="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3" name="imgMaisAberturaMeta" descr="Plus" hidden="1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4" name="imgMaisAberturaMeta" descr="Plus" hidden="1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5" name="imgMaisAberturaMeta" descr="Plus" hidden="1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6" name="imgMaisAberturaMeta" descr="Plus" hidden="1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7" name="imgMaisAberturaMeta" descr="Plus" hidden="1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8" name="imgMaisAberturaMeta" descr="Plus" hidden="1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79" name="imgMaisAberturaMeta" descr="Plus" hidden="1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0" name="imgMaisAberturaCoordenacao" descr="Plus" hidden="1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221560</xdr:rowOff>
    </xdr:to>
    <xdr:pic>
      <xdr:nvPicPr>
        <xdr:cNvPr id="81" name="imgMaisAberturaCoordenacao" descr="Plus" hidden="1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253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228600</xdr:rowOff>
    </xdr:to>
    <xdr:pic>
      <xdr:nvPicPr>
        <xdr:cNvPr id="82" name="imgMaisAberturaIdentificacao" descr="Plus" hidden="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95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3" name="imgMaisAberturaCoordenacao" descr="Plus" hidden="1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4" name="imgMaisAberturaCoordenacao" descr="Plus" hidden="1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228600</xdr:rowOff>
    </xdr:to>
    <xdr:pic>
      <xdr:nvPicPr>
        <xdr:cNvPr id="85" name="imgMaisAberturaIdentificacao" descr="Plus" hidden="1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95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6" name="imgMaisAberturaCoordenacao" descr="Plus" hidden="1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7" name="imgMaisAberturaCoordenacao" descr="Plus" hidden="1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361950</xdr:rowOff>
    </xdr:to>
    <xdr:pic>
      <xdr:nvPicPr>
        <xdr:cNvPr id="88" name="imgMaisAberturaIdentificacao" descr="Plus" hidden="1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542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89" name="imgMaisAberturaCoordenacao" descr="Plus" hidden="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90" name="imgMaisAberturaCoordenacao" descr="Plus" hidden="1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228600</xdr:rowOff>
    </xdr:to>
    <xdr:pic>
      <xdr:nvPicPr>
        <xdr:cNvPr id="91" name="imgMaisAberturaIdentificacao" descr="Plus" hidden="1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95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92" name="imgMaisAberturaCoordenacao" descr="Plus" hidden="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249010</xdr:rowOff>
    </xdr:to>
    <xdr:pic>
      <xdr:nvPicPr>
        <xdr:cNvPr id="93" name="imgMaisAberturaCoordenacao" descr="Plus" hidden="1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998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228600</xdr:rowOff>
    </xdr:to>
    <xdr:pic>
      <xdr:nvPicPr>
        <xdr:cNvPr id="94" name="imgMaisAberturaIdentificacao" descr="Plus" hidden="1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95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95" name="imgMaisAberturaCoordenacao" descr="Plus" hidden="1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95369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361950</xdr:rowOff>
    </xdr:to>
    <xdr:pic>
      <xdr:nvPicPr>
        <xdr:cNvPr id="96" name="imgMaisAberturaIdentificacao" descr="Plus" hidden="1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542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219075</xdr:rowOff>
    </xdr:to>
    <xdr:pic>
      <xdr:nvPicPr>
        <xdr:cNvPr id="97" name="imgMaisAberturaCoordenacao" descr="Plus" hidden="1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0005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361950</xdr:rowOff>
    </xdr:to>
    <xdr:pic>
      <xdr:nvPicPr>
        <xdr:cNvPr id="98" name="imgMaisAberturaIdentificacao" descr="Plus" hidden="1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542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99" name="imgMaisAberturaMeta" descr="Plus" hidden="1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0" name="imgMaisAberturaPremissa" descr="Plus" hidden="1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1" name="imgMaisAberturaInterface" descr="Plus" hidden="1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2" name="imgMaisAberturaPremissa" descr="Plus" hidden="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3" name="imgMaisAberturaPremissa" descr="Plus" hidden="1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4" name="imgMaisAberturaMeta" descr="Plus" hidden="1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5" name="imgMaisAberturaMeta" descr="Plus" hidden="1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6" name="imgMaisAberturaMeta" descr="Plus" hidden="1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7" name="imgMaisAberturaMeta" descr="Plus" hidden="1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8" name="imgMaisAberturaMeta" descr="Plus" hidden="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09" name="imgMaisAberturaMeta" descr="Plus" hidden="1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10" name="imgMaisAberturaMeta" descr="Plus" hidden="1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4</xdr:row>
      <xdr:rowOff>239487</xdr:rowOff>
    </xdr:to>
    <xdr:pic>
      <xdr:nvPicPr>
        <xdr:cNvPr id="111" name="imgMaisAberturaMeta" descr="Plus" hidden="1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420462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3</xdr:col>
      <xdr:colOff>148891</xdr:colOff>
      <xdr:row>5</xdr:row>
      <xdr:rowOff>0</xdr:rowOff>
    </xdr:to>
    <xdr:pic>
      <xdr:nvPicPr>
        <xdr:cNvPr id="112" name="imgMaisAberturaCoordenacao" descr="Plus" hidden="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800100"/>
          <a:ext cx="553641" cy="56333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twoCellAnchor>
  <xdr:twoCellAnchor>
    <xdr:from>
      <xdr:col>4</xdr:col>
      <xdr:colOff>2902745</xdr:colOff>
      <xdr:row>3</xdr:row>
      <xdr:rowOff>38042</xdr:rowOff>
    </xdr:from>
    <xdr:to>
      <xdr:col>4</xdr:col>
      <xdr:colOff>3396088</xdr:colOff>
      <xdr:row>3</xdr:row>
      <xdr:rowOff>542773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0520" y="904817"/>
          <a:ext cx="493343" cy="504731"/>
        </a:xfrm>
        <a:prstGeom prst="rect">
          <a:avLst/>
        </a:prstGeom>
      </xdr:spPr>
    </xdr:pic>
    <xdr:clientData/>
  </xdr:twoCellAnchor>
  <xdr:oneCellAnchor>
    <xdr:from>
      <xdr:col>2</xdr:col>
      <xdr:colOff>38100</xdr:colOff>
      <xdr:row>14</xdr:row>
      <xdr:rowOff>0</xdr:rowOff>
    </xdr:from>
    <xdr:ext cx="209550" cy="38100"/>
    <xdr:pic>
      <xdr:nvPicPr>
        <xdr:cNvPr id="114" name="imgMaisAberturaIdentificacao" descr="Plus" hidden="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15" name="imgMaisAberturaCoordenacao" descr="Plus" hidden="1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16" name="imgMaisAberturaCoordenacao" descr="Plus" hidden="1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17" name="imgMaisAberturaCoordenacao" descr="Plus" hidden="1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18" name="imgMaisAberturaCoordenacao" descr="Plus" hidden="1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19" name="imgMaisAberturaCoordenacao" descr="Plus" hidden="1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0</xdr:rowOff>
    </xdr:from>
    <xdr:ext cx="1009650" cy="161925"/>
    <xdr:pic>
      <xdr:nvPicPr>
        <xdr:cNvPr id="120" name="imgMaisAberturaCoordenacao" descr="Plus" hidden="1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47625</xdr:rowOff>
    </xdr:from>
    <xdr:ext cx="1009650" cy="142875"/>
    <xdr:pic>
      <xdr:nvPicPr>
        <xdr:cNvPr id="121" name="imgMaisAberturaCoordenacao" descr="Plus" hidden="1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14</xdr:row>
      <xdr:rowOff>47625</xdr:rowOff>
    </xdr:from>
    <xdr:ext cx="1009650" cy="142875"/>
    <xdr:pic>
      <xdr:nvPicPr>
        <xdr:cNvPr id="122" name="imgMaisAberturaCoordenacao" descr="Plus" hidden="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15</xdr:row>
      <xdr:rowOff>0</xdr:rowOff>
    </xdr:from>
    <xdr:ext cx="209550" cy="38100"/>
    <xdr:pic>
      <xdr:nvPicPr>
        <xdr:cNvPr id="123" name="imgMaisAberturaIdentificacao" descr="Plus" hidden="1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4" name="imgMaisAberturaCoordenacao" descr="Plus" hidden="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5" name="imgMaisAberturaCoordenacao" descr="Plus" hidden="1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6" name="imgMaisAberturaCoordenacao" descr="Plus" hidden="1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7" name="imgMaisAberturaCoordenacao" descr="Plus" hidden="1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8" name="imgMaisAberturaCoordenacao" descr="Plus" hidden="1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0</xdr:rowOff>
    </xdr:from>
    <xdr:ext cx="1009650" cy="161925"/>
    <xdr:pic>
      <xdr:nvPicPr>
        <xdr:cNvPr id="129" name="imgMaisAberturaCoordenacao" descr="Plus" hidden="1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47625</xdr:rowOff>
    </xdr:from>
    <xdr:ext cx="1009650" cy="142875"/>
    <xdr:pic>
      <xdr:nvPicPr>
        <xdr:cNvPr id="130" name="imgMaisAberturaCoordenacao" descr="Plus" hidden="1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15</xdr:row>
      <xdr:rowOff>47625</xdr:rowOff>
    </xdr:from>
    <xdr:ext cx="1009650" cy="142875"/>
    <xdr:pic>
      <xdr:nvPicPr>
        <xdr:cNvPr id="131" name="imgMaisAberturaCoordenacao" descr="Plus" hidden="1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16</xdr:row>
      <xdr:rowOff>0</xdr:rowOff>
    </xdr:from>
    <xdr:ext cx="209550" cy="38100"/>
    <xdr:pic>
      <xdr:nvPicPr>
        <xdr:cNvPr id="132" name="imgMaisAberturaIdentificacao" descr="Plus" hidden="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3" name="imgMaisAberturaCoordenacao" descr="Plus" hidden="1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4" name="imgMaisAberturaCoordenacao" descr="Plus" hidden="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5" name="imgMaisAberturaCoordenacao" descr="Plus" hidden="1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6" name="imgMaisAberturaCoordenacao" descr="Plus" hidden="1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7" name="imgMaisAberturaCoordenacao" descr="Plus" hidden="1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0</xdr:rowOff>
    </xdr:from>
    <xdr:ext cx="1009650" cy="161925"/>
    <xdr:pic>
      <xdr:nvPicPr>
        <xdr:cNvPr id="138" name="imgMaisAberturaCoordenacao" descr="Plus" hidden="1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47625</xdr:rowOff>
    </xdr:from>
    <xdr:ext cx="1009650" cy="142875"/>
    <xdr:pic>
      <xdr:nvPicPr>
        <xdr:cNvPr id="139" name="imgMaisAberturaCoordenacao" descr="Plus" hidden="1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16</xdr:row>
      <xdr:rowOff>47625</xdr:rowOff>
    </xdr:from>
    <xdr:ext cx="1009650" cy="142875"/>
    <xdr:pic>
      <xdr:nvPicPr>
        <xdr:cNvPr id="140" name="imgMaisAberturaCoordenacao" descr="Plus" hidden="1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17</xdr:row>
      <xdr:rowOff>0</xdr:rowOff>
    </xdr:from>
    <xdr:ext cx="209550" cy="38100"/>
    <xdr:pic>
      <xdr:nvPicPr>
        <xdr:cNvPr id="141" name="imgMaisAberturaIdentificacao" descr="Plus" hidden="1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2" name="imgMaisAberturaCoordenacao" descr="Plus" hidden="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3" name="imgMaisAberturaCoordenacao" descr="Plus" hidden="1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4" name="imgMaisAberturaCoordenacao" descr="Plus" hidden="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5" name="imgMaisAberturaCoordenacao" descr="Plus" hidden="1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6" name="imgMaisAberturaCoordenacao" descr="Plus" hidden="1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0</xdr:rowOff>
    </xdr:from>
    <xdr:ext cx="1009650" cy="161925"/>
    <xdr:pic>
      <xdr:nvPicPr>
        <xdr:cNvPr id="147" name="imgMaisAberturaCoordenacao" descr="Plus" hidden="1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47625</xdr:rowOff>
    </xdr:from>
    <xdr:ext cx="1009650" cy="142875"/>
    <xdr:pic>
      <xdr:nvPicPr>
        <xdr:cNvPr id="148" name="imgMaisAberturaCoordenacao" descr="Plus" hidden="1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17</xdr:row>
      <xdr:rowOff>47625</xdr:rowOff>
    </xdr:from>
    <xdr:ext cx="1009650" cy="142875"/>
    <xdr:pic>
      <xdr:nvPicPr>
        <xdr:cNvPr id="149" name="imgMaisAberturaCoordenacao" descr="Plus" hidden="1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18</xdr:row>
      <xdr:rowOff>0</xdr:rowOff>
    </xdr:from>
    <xdr:ext cx="209550" cy="38100"/>
    <xdr:pic>
      <xdr:nvPicPr>
        <xdr:cNvPr id="150" name="imgMaisAberturaIdentificacao" descr="Plus" hidden="1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1" name="imgMaisAberturaCoordenacao" descr="Plus" hidden="1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2" name="imgMaisAberturaCoordenacao" descr="Plus" hidden="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3" name="imgMaisAberturaCoordenacao" descr="Plus" hidden="1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4" name="imgMaisAberturaCoordenacao" descr="Plus" hidden="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5" name="imgMaisAberturaCoordenacao" descr="Plus" hidden="1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0</xdr:rowOff>
    </xdr:from>
    <xdr:ext cx="1009650" cy="161925"/>
    <xdr:pic>
      <xdr:nvPicPr>
        <xdr:cNvPr id="156" name="imgMaisAberturaCoordenacao" descr="Plus" hidden="1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47625</xdr:rowOff>
    </xdr:from>
    <xdr:ext cx="1009650" cy="142875"/>
    <xdr:pic>
      <xdr:nvPicPr>
        <xdr:cNvPr id="157" name="imgMaisAberturaCoordenacao" descr="Plus" hidden="1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18</xdr:row>
      <xdr:rowOff>47625</xdr:rowOff>
    </xdr:from>
    <xdr:ext cx="1009650" cy="142875"/>
    <xdr:pic>
      <xdr:nvPicPr>
        <xdr:cNvPr id="158" name="imgMaisAberturaCoordenacao" descr="Plus" hidden="1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19</xdr:row>
      <xdr:rowOff>0</xdr:rowOff>
    </xdr:from>
    <xdr:ext cx="209550" cy="38100"/>
    <xdr:pic>
      <xdr:nvPicPr>
        <xdr:cNvPr id="159" name="imgMaisAberturaIdentificacao" descr="Plus" hidden="1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0" name="imgMaisAberturaCoordenacao" descr="Plus" hidden="1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1" name="imgMaisAberturaCoordenacao" descr="Plus" hidden="1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2" name="imgMaisAberturaCoordenacao" descr="Plus" hidden="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3" name="imgMaisAberturaCoordenacao" descr="Plus" hidden="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4" name="imgMaisAberturaCoordenacao" descr="Plus" hidden="1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0</xdr:rowOff>
    </xdr:from>
    <xdr:ext cx="1009650" cy="161925"/>
    <xdr:pic>
      <xdr:nvPicPr>
        <xdr:cNvPr id="165" name="imgMaisAberturaCoordenacao" descr="Plus" hidden="1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47625</xdr:rowOff>
    </xdr:from>
    <xdr:ext cx="1009650" cy="142875"/>
    <xdr:pic>
      <xdr:nvPicPr>
        <xdr:cNvPr id="166" name="imgMaisAberturaCoordenacao" descr="Plus" hidden="1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19</xdr:row>
      <xdr:rowOff>47625</xdr:rowOff>
    </xdr:from>
    <xdr:ext cx="1009650" cy="142875"/>
    <xdr:pic>
      <xdr:nvPicPr>
        <xdr:cNvPr id="167" name="imgMaisAberturaCoordenacao" descr="Plus" hidden="1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20</xdr:row>
      <xdr:rowOff>0</xdr:rowOff>
    </xdr:from>
    <xdr:ext cx="209550" cy="38100"/>
    <xdr:pic>
      <xdr:nvPicPr>
        <xdr:cNvPr id="168" name="imgMaisAberturaIdentificacao" descr="Plus" hidden="1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69" name="imgMaisAberturaCoordenacao" descr="Plus" hidden="1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70" name="imgMaisAberturaCoordenacao" descr="Plus" hidden="1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71" name="imgMaisAberturaCoordenacao" descr="Plus" hidden="1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72" name="imgMaisAberturaCoordenacao" descr="Plus" hidden="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73" name="imgMaisAberturaCoordenacao" descr="Plus" hidden="1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0</xdr:rowOff>
    </xdr:from>
    <xdr:ext cx="1009650" cy="161925"/>
    <xdr:pic>
      <xdr:nvPicPr>
        <xdr:cNvPr id="174" name="imgMaisAberturaCoordenacao" descr="Plus" hidden="1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47625</xdr:rowOff>
    </xdr:from>
    <xdr:ext cx="1009650" cy="142875"/>
    <xdr:pic>
      <xdr:nvPicPr>
        <xdr:cNvPr id="175" name="imgMaisAberturaCoordenacao" descr="Plus" hidden="1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20</xdr:row>
      <xdr:rowOff>47625</xdr:rowOff>
    </xdr:from>
    <xdr:ext cx="1009650" cy="142875"/>
    <xdr:pic>
      <xdr:nvPicPr>
        <xdr:cNvPr id="176" name="imgMaisAberturaCoordenacao" descr="Plus" hidden="1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21</xdr:row>
      <xdr:rowOff>0</xdr:rowOff>
    </xdr:from>
    <xdr:ext cx="209550" cy="38100"/>
    <xdr:pic>
      <xdr:nvPicPr>
        <xdr:cNvPr id="177" name="imgMaisAberturaIdentificacao" descr="Plus" hidden="1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78" name="imgMaisAberturaCoordenacao" descr="Plus" hidden="1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79" name="imgMaisAberturaCoordenacao" descr="Plus" hidden="1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80" name="imgMaisAberturaCoordenacao" descr="Plus" hidden="1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81" name="imgMaisAberturaCoordenacao" descr="Plus" hidden="1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82" name="imgMaisAberturaCoordenacao" descr="Plus" hidden="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0</xdr:rowOff>
    </xdr:from>
    <xdr:ext cx="1009650" cy="161925"/>
    <xdr:pic>
      <xdr:nvPicPr>
        <xdr:cNvPr id="183" name="imgMaisAberturaCoordenacao" descr="Plus" hidden="1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47625</xdr:rowOff>
    </xdr:from>
    <xdr:ext cx="1009650" cy="142875"/>
    <xdr:pic>
      <xdr:nvPicPr>
        <xdr:cNvPr id="184" name="imgMaisAberturaCoordenacao" descr="Plus" hidden="1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21</xdr:row>
      <xdr:rowOff>47625</xdr:rowOff>
    </xdr:from>
    <xdr:ext cx="1009650" cy="142875"/>
    <xdr:pic>
      <xdr:nvPicPr>
        <xdr:cNvPr id="185" name="imgMaisAberturaCoordenacao" descr="Plus" hidden="1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22</xdr:row>
      <xdr:rowOff>0</xdr:rowOff>
    </xdr:from>
    <xdr:ext cx="209550" cy="38100"/>
    <xdr:pic>
      <xdr:nvPicPr>
        <xdr:cNvPr id="186" name="imgMaisAberturaIdentificacao" descr="Plus" hidden="1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87" name="imgMaisAberturaCoordenacao" descr="Plus" hidden="1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88" name="imgMaisAberturaCoordenacao" descr="Plus" hidden="1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89" name="imgMaisAberturaCoordenacao" descr="Plus" hidden="1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90" name="imgMaisAberturaCoordenacao" descr="Plus" hidden="1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91" name="imgMaisAberturaCoordenacao" descr="Plus" hidden="1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0</xdr:rowOff>
    </xdr:from>
    <xdr:ext cx="1009650" cy="161925"/>
    <xdr:pic>
      <xdr:nvPicPr>
        <xdr:cNvPr id="192" name="imgMaisAberturaCoordenacao" descr="Plus" hidden="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47625</xdr:rowOff>
    </xdr:from>
    <xdr:ext cx="1009650" cy="142875"/>
    <xdr:pic>
      <xdr:nvPicPr>
        <xdr:cNvPr id="193" name="imgMaisAberturaCoordenacao" descr="Plus" hidden="1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22</xdr:row>
      <xdr:rowOff>47625</xdr:rowOff>
    </xdr:from>
    <xdr:ext cx="1009650" cy="142875"/>
    <xdr:pic>
      <xdr:nvPicPr>
        <xdr:cNvPr id="194" name="imgMaisAberturaCoordenacao" descr="Plus" hidden="1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23</xdr:row>
      <xdr:rowOff>0</xdr:rowOff>
    </xdr:from>
    <xdr:ext cx="209550" cy="38100"/>
    <xdr:pic>
      <xdr:nvPicPr>
        <xdr:cNvPr id="195" name="imgMaisAberturaIdentificacao" descr="Plus" hidden="1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196" name="imgMaisAberturaCoordenacao" descr="Plus" hidden="1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197" name="imgMaisAberturaCoordenacao" descr="Plus" hidden="1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198" name="imgMaisAberturaCoordenacao" descr="Plus" hidden="1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199" name="imgMaisAberturaCoordenacao" descr="Plus" hidden="1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200" name="imgMaisAberturaCoordenacao" descr="Plus" hidden="1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0</xdr:rowOff>
    </xdr:from>
    <xdr:ext cx="1009650" cy="161925"/>
    <xdr:pic>
      <xdr:nvPicPr>
        <xdr:cNvPr id="201" name="imgMaisAberturaCoordenacao" descr="Plus" hidden="1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47625</xdr:rowOff>
    </xdr:from>
    <xdr:ext cx="1009650" cy="142875"/>
    <xdr:pic>
      <xdr:nvPicPr>
        <xdr:cNvPr id="202" name="imgMaisAberturaCoordenacao" descr="Plus" hidden="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23</xdr:row>
      <xdr:rowOff>47625</xdr:rowOff>
    </xdr:from>
    <xdr:ext cx="1009650" cy="142875"/>
    <xdr:pic>
      <xdr:nvPicPr>
        <xdr:cNvPr id="203" name="imgMaisAberturaCoordenacao" descr="Plus" hidden="1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2</xdr:col>
      <xdr:colOff>38100</xdr:colOff>
      <xdr:row>24</xdr:row>
      <xdr:rowOff>0</xdr:rowOff>
    </xdr:from>
    <xdr:ext cx="209550" cy="38100"/>
    <xdr:pic>
      <xdr:nvPicPr>
        <xdr:cNvPr id="204" name="imgMaisAberturaIdentificacao" descr="Plus" hidden="1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4562475"/>
          <a:ext cx="209550" cy="38100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05" name="imgMaisAberturaCoordenacao" descr="Plus" hidden="1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06" name="imgMaisAberturaCoordenacao" descr="Plus" hidden="1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07" name="imgMaisAberturaCoordenacao" descr="Plus" hidden="1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08" name="imgMaisAberturaCoordenacao" descr="Plus" hidden="1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09" name="imgMaisAberturaCoordenacao" descr="Plus" hidden="1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0</xdr:rowOff>
    </xdr:from>
    <xdr:ext cx="1009650" cy="161925"/>
    <xdr:pic>
      <xdr:nvPicPr>
        <xdr:cNvPr id="210" name="imgMaisAberturaCoordenacao" descr="Plus" hidden="1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562475"/>
          <a:ext cx="1009650" cy="16192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47625</xdr:rowOff>
    </xdr:from>
    <xdr:ext cx="1009650" cy="142875"/>
    <xdr:pic>
      <xdr:nvPicPr>
        <xdr:cNvPr id="211" name="imgMaisAberturaCoordenacao" descr="Plus" hidden="1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oneCellAnchor>
    <xdr:from>
      <xdr:col>0</xdr:col>
      <xdr:colOff>38100</xdr:colOff>
      <xdr:row>24</xdr:row>
      <xdr:rowOff>47625</xdr:rowOff>
    </xdr:from>
    <xdr:ext cx="1009650" cy="142875"/>
    <xdr:pic>
      <xdr:nvPicPr>
        <xdr:cNvPr id="212" name="imgMaisAberturaCoordenacao" descr="Plus" hidden="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4610100"/>
          <a:ext cx="1009650" cy="142875"/>
        </a:xfrm>
        <a:prstGeom prst="rect">
          <a:avLst/>
        </a:prstGeom>
        <a:noFill/>
        <a:ln w="9525">
          <a:solidFill>
            <a:srgbClr val="808080"/>
          </a:solidFill>
          <a:miter lim="800000"/>
          <a:headEnd/>
          <a:tailEnd/>
        </a:ln>
      </xdr:spPr>
    </xdr:pic>
    <xdr:clientData/>
  </xdr:oneCellAnchor>
  <xdr:twoCellAnchor>
    <xdr:from>
      <xdr:col>2</xdr:col>
      <xdr:colOff>18061</xdr:colOff>
      <xdr:row>35</xdr:row>
      <xdr:rowOff>93023</xdr:rowOff>
    </xdr:from>
    <xdr:to>
      <xdr:col>2</xdr:col>
      <xdr:colOff>666061</xdr:colOff>
      <xdr:row>36</xdr:row>
      <xdr:rowOff>367774</xdr:rowOff>
    </xdr:to>
    <xdr:grpSp>
      <xdr:nvGrpSpPr>
        <xdr:cNvPr id="213" name="Grupo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GrpSpPr/>
      </xdr:nvGrpSpPr>
      <xdr:grpSpPr>
        <a:xfrm>
          <a:off x="218086" y="13770923"/>
          <a:ext cx="648000" cy="655751"/>
          <a:chOff x="532398" y="2224338"/>
          <a:chExt cx="357493" cy="360000"/>
        </a:xfrm>
      </xdr:grpSpPr>
      <xdr:grpSp>
        <xdr:nvGrpSpPr>
          <xdr:cNvPr id="214" name="Grupo 213">
            <a:extLst>
              <a:ext uri="{FF2B5EF4-FFF2-40B4-BE49-F238E27FC236}">
                <a16:creationId xmlns:a16="http://schemas.microsoft.com/office/drawing/2014/main" id="{00000000-0008-0000-0400-0000D6000000}"/>
              </a:ext>
            </a:extLst>
          </xdr:cNvPr>
          <xdr:cNvGrpSpPr/>
        </xdr:nvGrpSpPr>
        <xdr:grpSpPr>
          <a:xfrm>
            <a:off x="532398" y="2224338"/>
            <a:ext cx="357493" cy="360000"/>
            <a:chOff x="532398" y="2224338"/>
            <a:chExt cx="357493" cy="360000"/>
          </a:xfrm>
        </xdr:grpSpPr>
        <xdr:pic>
          <xdr:nvPicPr>
            <xdr:cNvPr id="218" name="Imagem 217">
              <a:extLst>
                <a:ext uri="{FF2B5EF4-FFF2-40B4-BE49-F238E27FC236}">
                  <a16:creationId xmlns:a16="http://schemas.microsoft.com/office/drawing/2014/main" id="{00000000-0008-0000-0400-0000D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32398" y="2224338"/>
              <a:ext cx="357493" cy="360000"/>
            </a:xfrm>
            <a:prstGeom prst="rect">
              <a:avLst/>
            </a:prstGeom>
          </xdr:spPr>
        </xdr:pic>
        <xdr:sp macro="" textlink="">
          <xdr:nvSpPr>
            <xdr:cNvPr id="219" name="Retângulo 218">
              <a:extLst>
                <a:ext uri="{FF2B5EF4-FFF2-40B4-BE49-F238E27FC236}">
                  <a16:creationId xmlns:a16="http://schemas.microsoft.com/office/drawing/2014/main" id="{00000000-0008-0000-0400-0000DB000000}"/>
                </a:ext>
              </a:extLst>
            </xdr:cNvPr>
            <xdr:cNvSpPr/>
          </xdr:nvSpPr>
          <xdr:spPr>
            <a:xfrm>
              <a:off x="619125" y="2326481"/>
              <a:ext cx="192881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215" name="Grupo 214">
            <a:extLst>
              <a:ext uri="{FF2B5EF4-FFF2-40B4-BE49-F238E27FC236}">
                <a16:creationId xmlns:a16="http://schemas.microsoft.com/office/drawing/2014/main" id="{00000000-0008-0000-0400-0000D7000000}"/>
              </a:ext>
            </a:extLst>
          </xdr:cNvPr>
          <xdr:cNvGrpSpPr/>
        </xdr:nvGrpSpPr>
        <xdr:grpSpPr>
          <a:xfrm>
            <a:off x="638674" y="2336006"/>
            <a:ext cx="156663" cy="179275"/>
            <a:chOff x="941092" y="2338387"/>
            <a:chExt cx="156663" cy="179275"/>
          </a:xfrm>
        </xdr:grpSpPr>
        <xdr:cxnSp macro="">
          <xdr:nvCxnSpPr>
            <xdr:cNvPr id="216" name="Conector reto 215">
              <a:extLst>
                <a:ext uri="{FF2B5EF4-FFF2-40B4-BE49-F238E27FC236}">
                  <a16:creationId xmlns:a16="http://schemas.microsoft.com/office/drawing/2014/main" id="{00000000-0008-0000-0400-0000D8000000}"/>
                </a:ext>
              </a:extLst>
            </xdr:cNvPr>
            <xdr:cNvCxnSpPr/>
          </xdr:nvCxnSpPr>
          <xdr:spPr>
            <a:xfrm>
              <a:off x="947738" y="2338387"/>
              <a:ext cx="134882" cy="179275"/>
            </a:xfrm>
            <a:prstGeom prst="line">
              <a:avLst/>
            </a:prstGeom>
            <a:ln w="57150">
              <a:solidFill>
                <a:schemeClr val="accent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Conector reto 216">
              <a:extLst>
                <a:ext uri="{FF2B5EF4-FFF2-40B4-BE49-F238E27FC236}">
                  <a16:creationId xmlns:a16="http://schemas.microsoft.com/office/drawing/2014/main" id="{00000000-0008-0000-0400-0000D9000000}"/>
                </a:ext>
              </a:extLst>
            </xdr:cNvPr>
            <xdr:cNvCxnSpPr/>
          </xdr:nvCxnSpPr>
          <xdr:spPr>
            <a:xfrm flipV="1">
              <a:off x="941092" y="2343152"/>
              <a:ext cx="156663" cy="174108"/>
            </a:xfrm>
            <a:prstGeom prst="line">
              <a:avLst/>
            </a:prstGeom>
            <a:ln w="57150">
              <a:solidFill>
                <a:schemeClr val="accent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absoluteAnchor>
    <xdr:pos x="6736534" y="176212"/>
    <xdr:ext cx="1197791" cy="362944"/>
    <xdr:grpSp>
      <xdr:nvGrpSpPr>
        <xdr:cNvPr id="220" name="Grupo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GrpSpPr/>
      </xdr:nvGrpSpPr>
      <xdr:grpSpPr>
        <a:xfrm>
          <a:off x="6736534" y="176212"/>
          <a:ext cx="1197791" cy="362944"/>
          <a:chOff x="95255" y="154781"/>
          <a:chExt cx="1164357" cy="432000"/>
        </a:xfrm>
      </xdr:grpSpPr>
      <xdr:pic>
        <xdr:nvPicPr>
          <xdr:cNvPr id="221" name="Imagem 220">
            <a:extLst>
              <a:ext uri="{FF2B5EF4-FFF2-40B4-BE49-F238E27FC236}">
                <a16:creationId xmlns:a16="http://schemas.microsoft.com/office/drawing/2014/main" id="{00000000-0008-0000-0400-0000D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222" name="CaixaDeTexto 221">
            <a:extLst>
              <a:ext uri="{FF2B5EF4-FFF2-40B4-BE49-F238E27FC236}">
                <a16:creationId xmlns:a16="http://schemas.microsoft.com/office/drawing/2014/main" id="{00000000-0008-0000-0400-0000DE000000}"/>
              </a:ext>
            </a:extLst>
          </xdr:cNvPr>
          <xdr:cNvSpPr txBox="1"/>
        </xdr:nvSpPr>
        <xdr:spPr>
          <a:xfrm>
            <a:off x="522020" y="215033"/>
            <a:ext cx="737592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Retornar</a:t>
            </a:r>
          </a:p>
        </xdr:txBody>
      </xdr:sp>
    </xdr:grpSp>
    <xdr:clientData/>
  </xdr:absoluteAnchor>
  <xdr:twoCellAnchor>
    <xdr:from>
      <xdr:col>6</xdr:col>
      <xdr:colOff>895350</xdr:colOff>
      <xdr:row>1</xdr:row>
      <xdr:rowOff>57152</xdr:rowOff>
    </xdr:from>
    <xdr:to>
      <xdr:col>7</xdr:col>
      <xdr:colOff>1015314</xdr:colOff>
      <xdr:row>1</xdr:row>
      <xdr:rowOff>559595</xdr:rowOff>
    </xdr:to>
    <xdr:grpSp>
      <xdr:nvGrpSpPr>
        <xdr:cNvPr id="4" name="Grupo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8105775" y="104777"/>
          <a:ext cx="1501089" cy="502443"/>
          <a:chOff x="7679534" y="200025"/>
          <a:chExt cx="1943999" cy="520015"/>
        </a:xfrm>
      </xdr:grpSpPr>
      <xdr:sp macro="" textlink="">
        <xdr:nvSpPr>
          <xdr:cNvPr id="224" name="Pentágono 223">
            <a:extLst>
              <a:ext uri="{FF2B5EF4-FFF2-40B4-BE49-F238E27FC236}">
                <a16:creationId xmlns:a16="http://schemas.microsoft.com/office/drawing/2014/main" id="{00000000-0008-0000-0400-0000E0000000}"/>
              </a:ext>
            </a:extLst>
          </xdr:cNvPr>
          <xdr:cNvSpPr/>
        </xdr:nvSpPr>
        <xdr:spPr>
          <a:xfrm>
            <a:off x="7679534" y="200025"/>
            <a:ext cx="1943999" cy="520015"/>
          </a:xfrm>
          <a:prstGeom prst="homePlate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006600"/>
                </a:solidFill>
              </a:rPr>
              <a:t>Estrutura Analítica </a:t>
            </a:r>
          </a:p>
          <a:p>
            <a:pPr algn="l"/>
            <a:r>
              <a:rPr lang="pt-BR" sz="1200" b="1">
                <a:solidFill>
                  <a:srgbClr val="006600"/>
                </a:solidFill>
              </a:rPr>
              <a:t>do Projeto</a:t>
            </a:r>
          </a:p>
        </xdr:txBody>
      </xdr:sp>
      <xdr:pic>
        <xdr:nvPicPr>
          <xdr:cNvPr id="18" name="Imagem 17" descr="https://static.thenounproject.com/png/1469946-200.png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25191" y="476049"/>
            <a:ext cx="381001" cy="205598"/>
          </a:xfrm>
          <a:prstGeom prst="rect">
            <a:avLst/>
          </a:prstGeom>
          <a:noFill/>
        </xdr:spPr>
      </xdr:pic>
    </xdr:grpSp>
    <xdr:clientData/>
  </xdr:twoCellAnchor>
  <xdr:twoCellAnchor>
    <xdr:from>
      <xdr:col>2</xdr:col>
      <xdr:colOff>95250</xdr:colOff>
      <xdr:row>11</xdr:row>
      <xdr:rowOff>323850</xdr:rowOff>
    </xdr:from>
    <xdr:to>
      <xdr:col>2</xdr:col>
      <xdr:colOff>588593</xdr:colOff>
      <xdr:row>13</xdr:row>
      <xdr:rowOff>66581</xdr:rowOff>
    </xdr:to>
    <xdr:pic>
      <xdr:nvPicPr>
        <xdr:cNvPr id="223" name="Imagem 22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448175"/>
          <a:ext cx="493343" cy="504731"/>
        </a:xfrm>
        <a:prstGeom prst="rect">
          <a:avLst/>
        </a:prstGeom>
      </xdr:spPr>
    </xdr:pic>
    <xdr:clientData/>
  </xdr:twoCellAnchor>
  <xdr:twoCellAnchor editAs="oneCell">
    <xdr:from>
      <xdr:col>2</xdr:col>
      <xdr:colOff>2359</xdr:colOff>
      <xdr:row>1</xdr:row>
      <xdr:rowOff>61912</xdr:rowOff>
    </xdr:from>
    <xdr:to>
      <xdr:col>4</xdr:col>
      <xdr:colOff>654993</xdr:colOff>
      <xdr:row>1</xdr:row>
      <xdr:rowOff>553681</xdr:rowOff>
    </xdr:to>
    <xdr:pic>
      <xdr:nvPicPr>
        <xdr:cNvPr id="225" name="Imagem 224">
          <a:extLst>
            <a:ext uri="{FF2B5EF4-FFF2-40B4-BE49-F238E27FC236}">
              <a16:creationId xmlns:a16="http://schemas.microsoft.com/office/drawing/2014/main" id="{597433F0-1EB7-4CEE-AD97-F88BEFFD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2384" y="109537"/>
          <a:ext cx="1700384" cy="4917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9574812" y="169329"/>
    <xdr:ext cx="1460502" cy="362944"/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9574812" y="169329"/>
          <a:ext cx="1460502" cy="362944"/>
          <a:chOff x="95255" y="154781"/>
          <a:chExt cx="1419735" cy="432000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522020" y="215033"/>
            <a:ext cx="99297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Plan.</a:t>
            </a:r>
            <a:r>
              <a:rPr lang="pt-BR" sz="1200" b="1" baseline="0">
                <a:solidFill>
                  <a:schemeClr val="bg1"/>
                </a:solidFill>
              </a:rPr>
              <a:t> Projeto</a:t>
            </a:r>
            <a:endParaRPr lang="pt-BR" sz="1200" b="1">
              <a:solidFill>
                <a:schemeClr val="bg1"/>
              </a:solidFill>
            </a:endParaRPr>
          </a:p>
        </xdr:txBody>
      </xdr:sp>
    </xdr:grpSp>
    <xdr:clientData/>
  </xdr:absoluteAnchor>
  <xdr:absoluteAnchor>
    <xdr:pos x="8266712" y="173562"/>
    <xdr:ext cx="1128186" cy="362944"/>
    <xdr:grpSp>
      <xdr:nvGrpSpPr>
        <xdr:cNvPr id="14" name="Grup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8266712" y="173562"/>
          <a:ext cx="1128186" cy="362944"/>
          <a:chOff x="95255" y="154781"/>
          <a:chExt cx="1096695" cy="432000"/>
        </a:xfrm>
      </xdr:grpSpPr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 txBox="1"/>
        </xdr:nvSpPr>
        <xdr:spPr>
          <a:xfrm>
            <a:off x="522020" y="215033"/>
            <a:ext cx="66993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Retornar</a:t>
            </a:r>
          </a:p>
        </xdr:txBody>
      </xdr:sp>
    </xdr:grpSp>
    <xdr:clientData/>
  </xdr:absoluteAnchor>
  <xdr:twoCellAnchor editAs="oneCell">
    <xdr:from>
      <xdr:col>1</xdr:col>
      <xdr:colOff>123264</xdr:colOff>
      <xdr:row>1</xdr:row>
      <xdr:rowOff>56030</xdr:rowOff>
    </xdr:from>
    <xdr:to>
      <xdr:col>2</xdr:col>
      <xdr:colOff>198796</xdr:colOff>
      <xdr:row>1</xdr:row>
      <xdr:rowOff>547799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8D342270-5E20-408D-A48D-324EED0F6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088" y="112059"/>
          <a:ext cx="1700384" cy="491769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7</xdr:row>
      <xdr:rowOff>89647</xdr:rowOff>
    </xdr:from>
    <xdr:to>
      <xdr:col>13</xdr:col>
      <xdr:colOff>0</xdr:colOff>
      <xdr:row>52</xdr:row>
      <xdr:rowOff>47314</xdr:rowOff>
    </xdr:to>
    <xdr:graphicFrame macro="">
      <xdr:nvGraphicFramePr>
        <xdr:cNvPr id="17" name="Diagrama 16">
          <a:extLst>
            <a:ext uri="{FF2B5EF4-FFF2-40B4-BE49-F238E27FC236}">
              <a16:creationId xmlns:a16="http://schemas.microsoft.com/office/drawing/2014/main" id="{364F55ED-496D-4E8E-A9A8-BF990ACE0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5" r:lo="rId6" r:qs="rId7" r:cs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CELPAV/NOV96/CELPAV/COMPPRO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Logistic%20Comps\New_LogisticsMAComps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MG012\Aplic\Documents%20and%20Settings\raimundo\Meus%20documentos\USB\Balan&#231;o%20Energia%20USB\Energeticos-GGUS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04.%20OAS/Cockpit_Atmosphere_20150223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WINNT\Favorites\EmptyBoo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GPE%20GEEN%20v18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GSF/3.%20Cockpit%20de%20GP/Cockpit_v2.0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CBMM%20GEEN/1.1%20Melhorias%20no%20GPE/Desenvolvimento%20GPE%202018/GPE%20GEEN%20v18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3.%20Correios/FGP-PROJ-002-2013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AppData\Local\Microsoft\Windows\INetCache\IE\BDUUA5S5\Users\Consultor\Documents\MDL\Modelos\00.02%20-%20Case%20Cyrela\Projeto%20Engenharia\02.%20Gest&#227;o%20de%20Obra\06.%20Modelo%20Cockpit\Cockp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coabs\Meus%20Documentos\Meus%20Documentos\RESUMO%20DO%20DBASE%20PARA%20O%20VIVEIR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cp_la_110\c\CELPAV\NOV96\CELPAV\COMPPROD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Check%20list%20de%20projetos%20-%20VIII%20-%2013.03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DOKUME~1\SCHEWI~2\LOKALE~1\Temp\C.Lotus.Notes.Data\Verp_DE76_Budget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ITBI"/>
      <sheetName val="IPTU"/>
      <sheetName val="Responsável e Área"/>
      <sheetName val="Apoio"/>
      <sheetName val="Listas"/>
      <sheetName val="Lista"/>
      <sheetName val="g_visao"/>
      <sheetName val="Lista_Grupo_Ação"/>
      <sheetName val="BD"/>
      <sheetName val="Auxiliar-MapaCaus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stics"/>
      <sheetName val="SEC dp"/>
      <sheetName val="Pakhoed (New)"/>
      <sheetName val="Pakhoed"/>
      <sheetName val="AGAFrigo"/>
      <sheetName val="Intertrans"/>
      <sheetName val="United"/>
      <sheetName val="Geologistics"/>
      <sheetName val="Air Express"/>
      <sheetName val="Danzas (2)"/>
      <sheetName val="Danzas"/>
      <sheetName val="Jet"/>
      <sheetName val="Nedlloyd"/>
      <sheetName val="Christiania"/>
      <sheetName val="Mult"/>
      <sheetName val="Trans"/>
      <sheetName val="MarkVII (new)"/>
      <sheetName val="MarkVII"/>
      <sheetName val="Air Freight"/>
      <sheetName val="Postal"/>
      <sheetName val="MarkVII (new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1"/>
      <sheetName val="RESUMO 2"/>
      <sheetName val="SC"/>
      <sheetName val="AN"/>
      <sheetName val="USB"/>
      <sheetName val="CSG"/>
      <sheetName val="CSG2"/>
      <sheetName val="SG"/>
      <sheetName val="SR"/>
      <sheetName val="BSW"/>
      <sheetName val="Custos Unitários"/>
      <sheetName val="Dados Gerais"/>
      <sheetName val="REAC1"/>
      <sheetName val="REAC2"/>
      <sheetName val="MDCF"/>
      <sheetName val="Dados Mundo"/>
      <sheetName val="DD Outras CP"/>
      <sheetName val="SS Mutação PL"/>
      <sheetName val="EE Exigível LP"/>
      <sheetName val="FF Impostos"/>
      <sheetName val="AA Emprét. Financ."/>
      <sheetName val="XREF"/>
      <sheetName val="BB Fornecedores"/>
      <sheetName val="CC Encargos Sociais"/>
      <sheetName val="RESUMO_1"/>
      <sheetName val="RESUMO_2"/>
      <sheetName val="Custos_Unitários"/>
      <sheetName val="Dados_Gerais"/>
      <sheetName val="Dados_Mundo"/>
      <sheetName val="DD_Outras_CP"/>
      <sheetName val="SS_Mutação_PL"/>
      <sheetName val="EE_Exigível_LP"/>
      <sheetName val="FF_Impostos"/>
      <sheetName val="AA_Emprét__Financ_"/>
      <sheetName val="BB_Fornecedores"/>
      <sheetName val="CC_Encargos_Sociais"/>
      <sheetName val="Critérios"/>
      <sheetName val="suporte_pmo"/>
      <sheetName val="Configurações"/>
      <sheetName val="BancoDados"/>
      <sheetName val="Status"/>
      <sheetName val="Listas"/>
      <sheetName val="VALIDADOR"/>
      <sheetName val="PA- Apoio"/>
      <sheetName val="AUX"/>
      <sheetName val="Auxiliar"/>
      <sheetName val="Aux- SCAMPER"/>
      <sheetName val="Plan2"/>
      <sheetName val="Responsável e Área"/>
      <sheetName val="Draft para Plano de Ação VEN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.TermoAbertura"/>
      <sheetName val="P.PGO"/>
      <sheetName val="PP.EAP"/>
      <sheetName val="PP.Organograma"/>
      <sheetName val="PP.OrçPlanejExecutivo"/>
      <sheetName val="PP.Riscos"/>
      <sheetName val="PP. Regras Monitoramento"/>
      <sheetName val="D.ResumoObra"/>
      <sheetName val="D.SolicitaçãoMudança"/>
      <sheetName val="D-SolicitaçãoMudança_Histórico"/>
      <sheetName val="D.ResumoObra Farol Amarelo"/>
      <sheetName val="D.ResumoObraHistorico"/>
      <sheetName val="01.01 Desvio % Físico e Atraso"/>
      <sheetName val="01.05 % Físico Banco"/>
      <sheetName val="01.06 % Programação Semanal"/>
      <sheetName val="01.06 Programação Detalhada"/>
      <sheetName val="01.07 % Aquisições no Prazo"/>
      <sheetName val="01.08 % Entrega Proj. no Prazo"/>
      <sheetName val="Justificativas"/>
      <sheetName val="02.01 Desvio Custo Orç Executiv"/>
      <sheetName val="02.03 Desvios Desembolso"/>
      <sheetName val="02.05 Histograma MO"/>
      <sheetName val="02.07 Histograma Equipamento"/>
      <sheetName val="03.01 Índ. Conform. do Itens"/>
      <sheetName val="03.02 Índice de Terminabilidade"/>
      <sheetName val="03.02 Índ. Term. Detalhado"/>
      <sheetName val="03.03 Índ. Assertiv. Aceite"/>
      <sheetName val="03.04 Índ. Cump. Treinamento"/>
      <sheetName val="03.05 Índ. Cump. 1º Ser"/>
      <sheetName val="03.06  Índ. Cump. Instruç. Trab"/>
      <sheetName val="04.01 Índ. N Conform Seg"/>
      <sheetName val="04.02 Taxa Frequencia Acidentes"/>
      <sheetName val="04.03 Taxa Gravidade Acidentes"/>
      <sheetName val="05.01 Aval. Org. Canteiro"/>
      <sheetName val="06.01 Índice Aderência Gestão"/>
      <sheetName val="06.02 % Desvio Apto Modelo"/>
      <sheetName val="C.Performance"/>
      <sheetName val="C. Curvas"/>
      <sheetName val="A.PlanoAção"/>
      <sheetName val="E.LiçõesAprendidas"/>
      <sheetName val="E.Termo Encerramento"/>
      <sheetName val="Aux.MapaRiscos"/>
      <sheetName val="Aux.MapaCausas"/>
      <sheetName val="BD_Indicadores"/>
      <sheetName val="BancoDados_Lista"/>
      <sheetName val="BD_Marcos"/>
      <sheetName val="BD_Semanas_Proje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20">
          <cell r="G20" t="str">
            <v>BaixaBaixo</v>
          </cell>
        </row>
      </sheetData>
      <sheetData sheetId="43"/>
      <sheetData sheetId="44"/>
      <sheetData sheetId="45"/>
      <sheetData sheetId="46"/>
      <sheetData sheetId="4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mptyBook"/>
      <sheetName val="ProForma"/>
      <sheetName val="Inputs"/>
      <sheetName val="MOE"/>
      <sheetName val="Scenarios"/>
      <sheetName val="Balance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Auxiliar-MapaCausa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  <sheetName val="GPE GEEN v18"/>
    </sheetNames>
    <sheetDataSet>
      <sheetData sheetId="0"/>
      <sheetData sheetId="1">
        <row r="10">
          <cell r="CJ10">
            <v>0</v>
          </cell>
        </row>
      </sheetData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'P-MatrizResponsabilidades'!c9:c8</v>
          </cell>
        </row>
      </sheetData>
      <sheetData sheetId="10"/>
      <sheetData sheetId="11"/>
      <sheetData sheetId="12"/>
      <sheetData sheetId="13">
        <row r="10">
          <cell r="C10" t="str">
            <v>'D-CurvaS_Custos'!C14:C14</v>
          </cell>
          <cell r="H10" t="str">
            <v>'D-CurvaS_Custos'!H14:H14</v>
          </cell>
          <cell r="I10" t="str">
            <v>'D-CurvaS_Custos'!I14:I14</v>
          </cell>
          <cell r="J10" t="str">
            <v>'D-CurvaS_Custos'!J14:J14</v>
          </cell>
        </row>
      </sheetData>
      <sheetData sheetId="14"/>
      <sheetData sheetId="15"/>
      <sheetData sheetId="16"/>
      <sheetData sheetId="17"/>
      <sheetData sheetId="18"/>
      <sheetData sheetId="19">
        <row r="9">
          <cell r="F9" t="str">
            <v/>
          </cell>
        </row>
      </sheetData>
      <sheetData sheetId="20"/>
      <sheetData sheetId="21"/>
      <sheetData sheetId="22"/>
      <sheetData sheetId="23"/>
      <sheetData sheetId="24">
        <row r="5">
          <cell r="F5" t="str">
            <v>'Auxiliar-MapaCausas'!F7:F26</v>
          </cell>
        </row>
      </sheetData>
      <sheetData sheetId="25"/>
      <sheetData sheetId="26"/>
      <sheetData sheetId="27"/>
      <sheetData sheetId="28">
        <row r="5">
          <cell r="D5" t="str">
            <v>'PRZ.02'!D10:D102</v>
          </cell>
        </row>
      </sheetData>
      <sheetData sheetId="29"/>
      <sheetData sheetId="30"/>
      <sheetData sheetId="31">
        <row r="19">
          <cell r="D19" t="str">
            <v>PED.01!D20:D26</v>
          </cell>
        </row>
      </sheetData>
      <sheetData sheetId="32"/>
      <sheetData sheetId="33"/>
      <sheetData sheetId="34">
        <row r="5">
          <cell r="F5" t="str">
            <v>Listas!G8:G8</v>
          </cell>
        </row>
      </sheetData>
      <sheetData sheetId="35"/>
      <sheetData sheetId="36"/>
      <sheetData sheetId="3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P-Plano_Comunicação"/>
      <sheetName val="P-Mapa_Indicadores"/>
      <sheetName val="P-Declaração_Escopo"/>
      <sheetName val="P-Papéis e Responsabilidades"/>
      <sheetName val="P-Ata_Reuniao"/>
      <sheetName val="P-Ata_Reuniao_Historico"/>
      <sheetName val="D-Cronograma"/>
      <sheetName val="D-Plano_Riscos"/>
      <sheetName val="D-SolicitaçãoMudança"/>
      <sheetName val="D-SolicitaçãoMudança_Histórico"/>
      <sheetName val="C-Status_Report"/>
      <sheetName val="C-Status_Report_Histórico"/>
      <sheetName val="A-BancoAções_Desvios"/>
      <sheetName val="A-StatusAções"/>
      <sheetName val="Auxiliar-MatrizRiscos"/>
      <sheetName val="E-Lições Aprendidas"/>
      <sheetName val="E-AvaliaçãoFinal"/>
      <sheetName val="E-TermoDeEncerramento"/>
      <sheetName val="PRZ.01"/>
      <sheetName val="PRZ.02"/>
      <sheetName val="PRZ.03"/>
      <sheetName val="PRZ.04"/>
      <sheetName val="Backlog.PRZ.04"/>
      <sheetName val="CST.01"/>
      <sheetName val="GST.01"/>
      <sheetName val="RES.01"/>
      <sheetName val="Listas"/>
      <sheetName val="BancoDados_Indicadores"/>
      <sheetName val="BancoDados_PainelGerencial"/>
      <sheetName val="BancoDados_MSProject"/>
      <sheetName val="Cockpit_v2.0"/>
    </sheetNames>
    <sheetDataSet>
      <sheetData sheetId="0"/>
      <sheetData sheetId="1"/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J6" t="str">
            <v>PI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F5" t="str">
            <v>Listas!G8:G7</v>
          </cell>
          <cell r="AF5" t="str">
            <v>Listas!AF8:AF8</v>
          </cell>
          <cell r="AH5" t="str">
            <v>Listas!AH8:AH9</v>
          </cell>
          <cell r="AX5" t="str">
            <v>Listas!AX8:AX11</v>
          </cell>
          <cell r="AZ5" t="str">
            <v>Listas!AZ8:AZ11</v>
          </cell>
          <cell r="BB5" t="str">
            <v>Listas!BB8:BB12</v>
          </cell>
          <cell r="BD5" t="str">
            <v>Listas!BD8:BD12</v>
          </cell>
          <cell r="BF5" t="str">
            <v>Listas!BF8:BF12</v>
          </cell>
          <cell r="BH5" t="str">
            <v>Listas!BH8:BH12</v>
          </cell>
          <cell r="BJ5" t="str">
            <v>Listas!BJ8:BJ11</v>
          </cell>
          <cell r="BN5" t="str">
            <v>Listas!BN8:BN11</v>
          </cell>
          <cell r="CC5" t="str">
            <v>Listas!CC8:CC84</v>
          </cell>
          <cell r="CE5" t="str">
            <v>Listas!CE8:CE20</v>
          </cell>
          <cell r="CG5" t="str">
            <v>Listas!CG8:CG9</v>
          </cell>
          <cell r="CJ5" t="str">
            <v>Listas!CJ8:CJ9</v>
          </cell>
          <cell r="CV5" t="str">
            <v>Listas!CV8:CV19</v>
          </cell>
          <cell r="CZ5" t="str">
            <v>Listas!CZ8:CZ10</v>
          </cell>
          <cell r="DH5" t="str">
            <v>JUR - Gerência Jurídica</v>
          </cell>
        </row>
      </sheetData>
      <sheetData sheetId="29"/>
      <sheetData sheetId="30"/>
      <sheetData sheetId="31">
        <row r="7">
          <cell r="C7" t="str">
            <v>BancoDados_MSProject!C10:C9</v>
          </cell>
        </row>
      </sheetData>
      <sheetData sheetId="3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</sheetNames>
    <sheetDataSet>
      <sheetData sheetId="0" refreshError="1"/>
      <sheetData sheetId="1">
        <row r="6">
          <cell r="C6" t="str">
            <v>Código do Projeto</v>
          </cell>
        </row>
      </sheetData>
      <sheetData sheetId="2" refreshError="1"/>
      <sheetData sheetId="3">
        <row r="4">
          <cell r="C4" t="str">
            <v>Processo do indicador</v>
          </cell>
        </row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'P-MatrizResponsabilidades'!c9:c8</v>
          </cell>
        </row>
      </sheetData>
      <sheetData sheetId="10" refreshError="1"/>
      <sheetData sheetId="11" refreshError="1"/>
      <sheetData sheetId="12" refreshError="1"/>
      <sheetData sheetId="13">
        <row r="10">
          <cell r="C10" t="str">
            <v>'D-CurvaS_Custos'!C14:C37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9">
          <cell r="E9" t="str">
            <v>Baseline</v>
          </cell>
        </row>
      </sheetData>
      <sheetData sheetId="27">
        <row r="5">
          <cell r="D5" t="str">
            <v>'PRZ.02'!D10:D11</v>
          </cell>
        </row>
      </sheetData>
      <sheetData sheetId="28" refreshError="1"/>
      <sheetData sheetId="29">
        <row r="4">
          <cell r="B4" t="str">
            <v>&gt;=80%</v>
          </cell>
        </row>
      </sheetData>
      <sheetData sheetId="30">
        <row r="19">
          <cell r="D19" t="str">
            <v>PED.01!D20:D26</v>
          </cell>
        </row>
      </sheetData>
      <sheetData sheetId="31" refreshError="1"/>
      <sheetData sheetId="32" refreshError="1"/>
      <sheetData sheetId="33">
        <row r="5">
          <cell r="F5" t="str">
            <v>Listas!G8:G107</v>
          </cell>
          <cell r="BE5" t="str">
            <v>Listas!BE8:BE10</v>
          </cell>
        </row>
      </sheetData>
      <sheetData sheetId="34" refreshError="1"/>
      <sheetData sheetId="3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Orientações"/>
      <sheetName val="Relatório_DPLAN_Acomp_Mensal"/>
      <sheetName val="Termo Abertura"/>
      <sheetName val="Meta"/>
      <sheetName val="Partes Interessadas"/>
      <sheetName val="Premissas Restrições"/>
      <sheetName val="Declaração Escopo"/>
      <sheetName val="Entregas"/>
      <sheetName val="EAP"/>
      <sheetName val="Interfaces"/>
      <sheetName val="Equipe"/>
      <sheetName val="Matriz Responsabilidades"/>
      <sheetName val="Matriz Capacitação"/>
      <sheetName val="Cronograma"/>
      <sheetName val="Plano Aquisições (PP)"/>
      <sheetName val="Matriz Comunicação"/>
      <sheetName val="Indicador"/>
      <sheetName val="Riscos (PP)"/>
      <sheetName val="Regras_Regulamentos"/>
      <sheetName val="Plano do Projeto"/>
      <sheetName val="Plano Aquisições_(E)"/>
      <sheetName val="Indicador (E)"/>
      <sheetName val="Solic._Mudanças (C)"/>
      <sheetName val="Solic._Mudanças (C)_Historico"/>
      <sheetName val="Riscos (C)"/>
      <sheetName val="Rel._Acomp. (C)"/>
      <sheetName val="Critérios_Farol"/>
      <sheetName val="Rel._Acomp. (C) Historico"/>
      <sheetName val="Termo_Aceite"/>
      <sheetName val="Termo_Aceite Historico"/>
      <sheetName val="R3G (C)"/>
      <sheetName val="Rel._Encerramento (E)"/>
      <sheetName val="Licoes_Aprendidas (E)"/>
      <sheetName val="Pesquisa_Satisf.EGP"/>
      <sheetName val="Termo_Susp.-Cancel."/>
      <sheetName val="BancoDados"/>
      <sheetName val="Indicador_BD"/>
      <sheetName val="FGP-PROJ-002-20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7">
          <cell r="AF7">
            <v>2</v>
          </cell>
        </row>
        <row r="11">
          <cell r="P11" t="str">
            <v>Alta</v>
          </cell>
          <cell r="Q11" t="str">
            <v>Alto</v>
          </cell>
        </row>
        <row r="12">
          <cell r="P12" t="str">
            <v>Média</v>
          </cell>
          <cell r="Q12" t="str">
            <v>Médio</v>
          </cell>
        </row>
        <row r="13">
          <cell r="P13" t="str">
            <v>Baixa</v>
          </cell>
          <cell r="Q13" t="str">
            <v>Baixo</v>
          </cell>
        </row>
      </sheetData>
      <sheetData sheetId="37"/>
      <sheetData sheetId="3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ermo_Abertura"/>
      <sheetName val="Plano_Obra"/>
      <sheetName val="Resumo_Obra"/>
      <sheetName val="Relatório_Fotográfico"/>
      <sheetName val="Historico_Obra"/>
      <sheetName val="Sol_Alteracoes"/>
      <sheetName val="Evolução da Performance_grafico"/>
      <sheetName val="Evolução da Performance_numeros"/>
      <sheetName val="Gestão das Concessionárias"/>
      <sheetName val="Banco"/>
      <sheetName val="Fisico_CC"/>
      <sheetName val="Historico_Fisico"/>
      <sheetName val="Programação_Semanal"/>
      <sheetName val="Programacao_Detalhada"/>
      <sheetName val="Contratacao_Mapa"/>
      <sheetName val="Contratacao_Materiais"/>
      <sheetName val="Projetos"/>
      <sheetName val="EVCO"/>
      <sheetName val="Justificativas_EVCO"/>
      <sheetName val="Desembolso"/>
      <sheetName val="Consumo_Concreto"/>
      <sheetName val="Consumo_Aco"/>
      <sheetName val="Produtividade"/>
      <sheetName val="Histograma_MO_Quantidade"/>
      <sheetName val="Histograma_MO_Custo"/>
      <sheetName val="Itens_Conformes"/>
      <sheetName val="Procedimento"/>
      <sheetName val="Treinamento"/>
      <sheetName val="Prototipo"/>
      <sheetName val="Acidentes_P"/>
      <sheetName val="Acidentes_T"/>
      <sheetName val="Autuacoes"/>
      <sheetName val="Gestao"/>
      <sheetName val="Tributação"/>
      <sheetName val="Residuo"/>
      <sheetName val="Plano de Ação"/>
      <sheetName val="Lições Aprendidas"/>
      <sheetName val="Base indicadores"/>
    </sheetNames>
    <sheetDataSet>
      <sheetData sheetId="0">
        <row r="22">
          <cell r="I22" t="str">
            <v>Meta</v>
          </cell>
        </row>
      </sheetData>
      <sheetData sheetId="1">
        <row r="16">
          <cell r="C16">
            <v>0</v>
          </cell>
        </row>
      </sheetData>
      <sheetData sheetId="2">
        <row r="2">
          <cell r="B2" t="str">
            <v>PLANO DE GESTÃO DA OBRA</v>
          </cell>
        </row>
      </sheetData>
      <sheetData sheetId="3">
        <row r="2">
          <cell r="B2" t="str">
            <v>RESUMO DA OBRA</v>
          </cell>
        </row>
      </sheetData>
      <sheetData sheetId="4"/>
      <sheetData sheetId="5"/>
      <sheetData sheetId="6"/>
      <sheetData sheetId="7">
        <row r="2">
          <cell r="B2" t="str">
            <v>EVOLUÇÃO DA PERFORMANCE - GRÁFICA</v>
          </cell>
        </row>
      </sheetData>
      <sheetData sheetId="8"/>
      <sheetData sheetId="9"/>
      <sheetData sheetId="10">
        <row r="10">
          <cell r="C10">
            <v>-3</v>
          </cell>
        </row>
      </sheetData>
      <sheetData sheetId="11">
        <row r="2">
          <cell r="B2" t="str">
            <v>CONTROLE DE PRAZOS
 % FÍSICO E CAMINHO CRÍTICO</v>
          </cell>
        </row>
      </sheetData>
      <sheetData sheetId="12"/>
      <sheetData sheetId="13">
        <row r="10">
          <cell r="M10">
            <v>-3</v>
          </cell>
        </row>
      </sheetData>
      <sheetData sheetId="14">
        <row r="2">
          <cell r="AH2">
            <v>1</v>
          </cell>
          <cell r="AI2">
            <v>2</v>
          </cell>
          <cell r="AJ2">
            <v>3</v>
          </cell>
          <cell r="AK2">
            <v>4</v>
          </cell>
          <cell r="AL2">
            <v>5</v>
          </cell>
          <cell r="AM2">
            <v>6</v>
          </cell>
          <cell r="AN2">
            <v>7</v>
          </cell>
          <cell r="AO2">
            <v>8</v>
          </cell>
          <cell r="AP2">
            <v>9</v>
          </cell>
          <cell r="AQ2">
            <v>10</v>
          </cell>
          <cell r="AR2">
            <v>11</v>
          </cell>
          <cell r="AS2">
            <v>12</v>
          </cell>
          <cell r="AT2">
            <v>13</v>
          </cell>
          <cell r="AU2">
            <v>14</v>
          </cell>
          <cell r="AV2">
            <v>15</v>
          </cell>
          <cell r="AW2">
            <v>16</v>
          </cell>
          <cell r="AX2">
            <v>17</v>
          </cell>
          <cell r="AY2">
            <v>18</v>
          </cell>
          <cell r="AZ2">
            <v>19</v>
          </cell>
          <cell r="BA2">
            <v>20</v>
          </cell>
          <cell r="BB2">
            <v>21</v>
          </cell>
          <cell r="BC2">
            <v>22</v>
          </cell>
          <cell r="BD2">
            <v>23</v>
          </cell>
          <cell r="BE2">
            <v>24</v>
          </cell>
          <cell r="BF2">
            <v>25</v>
          </cell>
          <cell r="BG2">
            <v>26</v>
          </cell>
          <cell r="BH2">
            <v>27</v>
          </cell>
          <cell r="BI2">
            <v>28</v>
          </cell>
          <cell r="BJ2">
            <v>29</v>
          </cell>
          <cell r="BK2">
            <v>30</v>
          </cell>
          <cell r="BL2">
            <v>31</v>
          </cell>
          <cell r="BM2">
            <v>32</v>
          </cell>
          <cell r="BN2">
            <v>33</v>
          </cell>
          <cell r="BO2">
            <v>34</v>
          </cell>
          <cell r="BP2">
            <v>35</v>
          </cell>
          <cell r="BQ2">
            <v>36</v>
          </cell>
          <cell r="BR2">
            <v>37</v>
          </cell>
          <cell r="BS2">
            <v>38</v>
          </cell>
          <cell r="BT2">
            <v>39</v>
          </cell>
          <cell r="BU2">
            <v>40</v>
          </cell>
          <cell r="BV2">
            <v>41</v>
          </cell>
          <cell r="BW2">
            <v>42</v>
          </cell>
          <cell r="BX2">
            <v>43</v>
          </cell>
          <cell r="BY2">
            <v>44</v>
          </cell>
          <cell r="BZ2">
            <v>45</v>
          </cell>
          <cell r="CA2">
            <v>46</v>
          </cell>
          <cell r="CB2">
            <v>47</v>
          </cell>
          <cell r="CC2">
            <v>48</v>
          </cell>
          <cell r="CD2">
            <v>49</v>
          </cell>
          <cell r="CE2">
            <v>50</v>
          </cell>
          <cell r="CF2">
            <v>51</v>
          </cell>
          <cell r="CG2">
            <v>52</v>
          </cell>
          <cell r="CH2">
            <v>53</v>
          </cell>
          <cell r="CI2">
            <v>54</v>
          </cell>
          <cell r="CJ2">
            <v>55</v>
          </cell>
          <cell r="CK2">
            <v>56</v>
          </cell>
          <cell r="CL2">
            <v>57</v>
          </cell>
          <cell r="CM2">
            <v>58</v>
          </cell>
          <cell r="CN2">
            <v>59</v>
          </cell>
          <cell r="CO2">
            <v>60</v>
          </cell>
          <cell r="CP2">
            <v>61</v>
          </cell>
          <cell r="CQ2">
            <v>62</v>
          </cell>
          <cell r="CR2">
            <v>63</v>
          </cell>
          <cell r="CS2">
            <v>64</v>
          </cell>
          <cell r="CT2">
            <v>65</v>
          </cell>
          <cell r="CU2">
            <v>66</v>
          </cell>
          <cell r="CV2">
            <v>67</v>
          </cell>
          <cell r="CW2">
            <v>68</v>
          </cell>
          <cell r="CX2">
            <v>69</v>
          </cell>
          <cell r="CY2">
            <v>70</v>
          </cell>
          <cell r="CZ2">
            <v>71</v>
          </cell>
          <cell r="DA2">
            <v>72</v>
          </cell>
          <cell r="DB2">
            <v>73</v>
          </cell>
          <cell r="DC2">
            <v>74</v>
          </cell>
          <cell r="DD2">
            <v>75</v>
          </cell>
          <cell r="DE2">
            <v>76</v>
          </cell>
          <cell r="DF2">
            <v>77</v>
          </cell>
          <cell r="DG2">
            <v>78</v>
          </cell>
          <cell r="DH2">
            <v>79</v>
          </cell>
          <cell r="DI2">
            <v>80</v>
          </cell>
          <cell r="DJ2">
            <v>81</v>
          </cell>
          <cell r="DK2">
            <v>82</v>
          </cell>
          <cell r="DL2">
            <v>83</v>
          </cell>
          <cell r="DM2">
            <v>84</v>
          </cell>
          <cell r="DN2">
            <v>85</v>
          </cell>
          <cell r="DO2">
            <v>86</v>
          </cell>
          <cell r="DP2">
            <v>87</v>
          </cell>
          <cell r="DQ2">
            <v>88</v>
          </cell>
          <cell r="DR2">
            <v>89</v>
          </cell>
          <cell r="DS2">
            <v>90</v>
          </cell>
          <cell r="DT2">
            <v>91</v>
          </cell>
          <cell r="DU2">
            <v>92</v>
          </cell>
          <cell r="DV2">
            <v>93</v>
          </cell>
          <cell r="DW2">
            <v>94</v>
          </cell>
          <cell r="DX2">
            <v>95</v>
          </cell>
          <cell r="DY2">
            <v>96</v>
          </cell>
          <cell r="DZ2">
            <v>97</v>
          </cell>
          <cell r="EA2">
            <v>98</v>
          </cell>
          <cell r="EB2">
            <v>99</v>
          </cell>
          <cell r="EC2">
            <v>100</v>
          </cell>
          <cell r="ED2">
            <v>101</v>
          </cell>
          <cell r="EE2">
            <v>102</v>
          </cell>
          <cell r="EF2">
            <v>103</v>
          </cell>
          <cell r="EG2">
            <v>104</v>
          </cell>
          <cell r="EH2">
            <v>105</v>
          </cell>
          <cell r="EI2">
            <v>106</v>
          </cell>
          <cell r="EJ2">
            <v>107</v>
          </cell>
          <cell r="EK2">
            <v>108</v>
          </cell>
          <cell r="EL2">
            <v>109</v>
          </cell>
          <cell r="EM2">
            <v>110</v>
          </cell>
          <cell r="EN2">
            <v>111</v>
          </cell>
          <cell r="EO2">
            <v>112</v>
          </cell>
          <cell r="EP2">
            <v>113</v>
          </cell>
          <cell r="EQ2">
            <v>114</v>
          </cell>
          <cell r="ER2">
            <v>115</v>
          </cell>
          <cell r="ES2">
            <v>116</v>
          </cell>
          <cell r="ET2">
            <v>117</v>
          </cell>
          <cell r="EU2">
            <v>118</v>
          </cell>
          <cell r="EV2">
            <v>119</v>
          </cell>
          <cell r="EW2">
            <v>120</v>
          </cell>
          <cell r="EX2">
            <v>121</v>
          </cell>
          <cell r="EY2">
            <v>122</v>
          </cell>
          <cell r="EZ2">
            <v>123</v>
          </cell>
          <cell r="FA2">
            <v>124</v>
          </cell>
          <cell r="FB2">
            <v>125</v>
          </cell>
          <cell r="FC2">
            <v>126</v>
          </cell>
          <cell r="FD2">
            <v>127</v>
          </cell>
          <cell r="FE2">
            <v>128</v>
          </cell>
          <cell r="FF2">
            <v>129</v>
          </cell>
          <cell r="FG2">
            <v>130</v>
          </cell>
          <cell r="FH2">
            <v>131</v>
          </cell>
          <cell r="FI2">
            <v>132</v>
          </cell>
          <cell r="FJ2">
            <v>133</v>
          </cell>
          <cell r="FK2">
            <v>134</v>
          </cell>
          <cell r="FL2">
            <v>135</v>
          </cell>
          <cell r="FM2">
            <v>136</v>
          </cell>
          <cell r="FN2">
            <v>137</v>
          </cell>
          <cell r="FO2">
            <v>138</v>
          </cell>
          <cell r="FP2">
            <v>139</v>
          </cell>
          <cell r="FQ2">
            <v>140</v>
          </cell>
          <cell r="FR2">
            <v>141</v>
          </cell>
          <cell r="FS2">
            <v>142</v>
          </cell>
          <cell r="FT2">
            <v>143</v>
          </cell>
          <cell r="FU2">
            <v>144</v>
          </cell>
          <cell r="FV2">
            <v>145</v>
          </cell>
          <cell r="FW2">
            <v>146</v>
          </cell>
          <cell r="FX2">
            <v>147</v>
          </cell>
          <cell r="FY2">
            <v>148</v>
          </cell>
          <cell r="FZ2">
            <v>149</v>
          </cell>
          <cell r="GA2">
            <v>150</v>
          </cell>
          <cell r="GB2">
            <v>151</v>
          </cell>
          <cell r="GC2">
            <v>152</v>
          </cell>
          <cell r="GD2">
            <v>153</v>
          </cell>
          <cell r="GE2">
            <v>154</v>
          </cell>
          <cell r="GF2">
            <v>155</v>
          </cell>
          <cell r="GG2">
            <v>156</v>
          </cell>
          <cell r="GH2">
            <v>157</v>
          </cell>
          <cell r="GI2">
            <v>158</v>
          </cell>
          <cell r="GJ2">
            <v>159</v>
          </cell>
          <cell r="GK2">
            <v>160</v>
          </cell>
        </row>
      </sheetData>
      <sheetData sheetId="15">
        <row r="2">
          <cell r="D2" t="str">
            <v>CONTROLE DE PRAZOS
ÍNDICE DAS CONTRATAÇÕES NO PRAZO E DOS MAPAS DE CONCORRÊNCIA (MO)</v>
          </cell>
        </row>
      </sheetData>
      <sheetData sheetId="16">
        <row r="12">
          <cell r="AH12">
            <v>-3</v>
          </cell>
        </row>
      </sheetData>
      <sheetData sheetId="17">
        <row r="9">
          <cell r="M9">
            <v>-3</v>
          </cell>
        </row>
      </sheetData>
      <sheetData sheetId="18">
        <row r="9">
          <cell r="C9">
            <v>-3</v>
          </cell>
        </row>
      </sheetData>
      <sheetData sheetId="19">
        <row r="7">
          <cell r="B7" t="str">
            <v>LEGENDA:</v>
          </cell>
        </row>
      </sheetData>
      <sheetData sheetId="20">
        <row r="8">
          <cell r="C8">
            <v>-3</v>
          </cell>
        </row>
      </sheetData>
      <sheetData sheetId="21">
        <row r="29">
          <cell r="W29">
            <v>-3</v>
          </cell>
        </row>
      </sheetData>
      <sheetData sheetId="22">
        <row r="8">
          <cell r="C8">
            <v>-3</v>
          </cell>
        </row>
      </sheetData>
      <sheetData sheetId="23">
        <row r="6">
          <cell r="D6" t="str">
            <v>Periferia (Produtividade Forma)</v>
          </cell>
        </row>
      </sheetData>
      <sheetData sheetId="24">
        <row r="96">
          <cell r="D96">
            <v>-3</v>
          </cell>
        </row>
      </sheetData>
      <sheetData sheetId="25">
        <row r="75">
          <cell r="K75">
            <v>-3</v>
          </cell>
        </row>
      </sheetData>
      <sheetData sheetId="26">
        <row r="10">
          <cell r="N10">
            <v>-3</v>
          </cell>
        </row>
      </sheetData>
      <sheetData sheetId="27">
        <row r="9">
          <cell r="I9">
            <v>-3</v>
          </cell>
        </row>
      </sheetData>
      <sheetData sheetId="28">
        <row r="8">
          <cell r="C8">
            <v>-3</v>
          </cell>
        </row>
      </sheetData>
      <sheetData sheetId="29">
        <row r="9">
          <cell r="J9">
            <v>-3</v>
          </cell>
        </row>
      </sheetData>
      <sheetData sheetId="30">
        <row r="8">
          <cell r="N8">
            <v>-3</v>
          </cell>
        </row>
      </sheetData>
      <sheetData sheetId="31">
        <row r="8">
          <cell r="J8">
            <v>-3</v>
          </cell>
        </row>
      </sheetData>
      <sheetData sheetId="32">
        <row r="9">
          <cell r="K9">
            <v>-3</v>
          </cell>
        </row>
      </sheetData>
      <sheetData sheetId="33">
        <row r="10">
          <cell r="N10">
            <v>-3</v>
          </cell>
        </row>
      </sheetData>
      <sheetData sheetId="34">
        <row r="9">
          <cell r="D9">
            <v>-3</v>
          </cell>
        </row>
      </sheetData>
      <sheetData sheetId="35">
        <row r="8">
          <cell r="C8">
            <v>-3</v>
          </cell>
        </row>
      </sheetData>
      <sheetData sheetId="36">
        <row r="8">
          <cell r="B8" t="str">
            <v/>
          </cell>
        </row>
      </sheetData>
      <sheetData sheetId="37"/>
      <sheetData sheetId="3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DO DBASE PARA O VIVEIRO"/>
      <sheetName val="P2 Stratification"/>
      <sheetName val="Plan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Plan1"/>
      <sheetName val="Plan2"/>
      <sheetName val="Plan3"/>
      <sheetName val="Tags"/>
      <sheetName val="PI"/>
      <sheetName val="Dados Mestre"/>
      <sheetName val="Acomp. Fator"/>
      <sheetName val="Linha Fibras"/>
      <sheetName val="Difer."/>
      <sheetName val="MgSO4 e AQ"/>
      <sheetName val="Planta Química"/>
      <sheetName val="Específicos"/>
      <sheetName val="Custo Var."/>
      <sheetName val="Custo Atual"/>
      <sheetName val="H.P. - Resumo"/>
      <sheetName val="H. Paradas"/>
      <sheetName val="TPM"/>
      <sheetName val="VCP-ABS"/>
      <sheetName val="Fatos Rel."/>
      <sheetName val="Qualidade"/>
      <sheetName val="Ocorrências"/>
      <sheetName val="Cálculos AQ"/>
      <sheetName val="Responsável e Áre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ChecklisProjetos"/>
      <sheetName val="P-Requisitos Básicos"/>
      <sheetName val="Apoio - Pesos"/>
      <sheetName val="Plan1"/>
    </sheetNames>
    <sheetDataSet>
      <sheetData sheetId="0" refreshError="1"/>
      <sheetData sheetId="1"/>
      <sheetData sheetId="2">
        <row r="5">
          <cell r="B5" t="str">
            <v>Sim</v>
          </cell>
        </row>
        <row r="6">
          <cell r="B6" t="str">
            <v>Não</v>
          </cell>
        </row>
      </sheetData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Kosten Verp.2006"/>
      <sheetName val="2. summary"/>
      <sheetName val="3. Result 2006"/>
      <sheetName val="Resultado"/>
      <sheetName val="Ativo"/>
      <sheetName val="Passiv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nsultor" refreshedDate="42727.655519097221" createdVersion="4" refreshedVersion="4" minRefreshableVersion="3" recordCount="20">
  <cacheSource type="worksheet">
    <worksheetSource ref="K5:P25" sheet="P-Escopo"/>
  </cacheSource>
  <cacheFields count="6">
    <cacheField name="Ciclo planejado (mês)" numFmtId="0">
      <sharedItems containsMixedTypes="1" containsNumber="1" containsInteger="1" minValue="2" maxValue="3"/>
    </cacheField>
    <cacheField name="Ciclo planejado (ano)" numFmtId="0">
      <sharedItems containsMixedTypes="1" containsNumber="1" containsInteger="1" minValue="2016" maxValue="2016"/>
    </cacheField>
    <cacheField name="Chave planejado" numFmtId="0">
      <sharedItems count="3">
        <s v="2016-3"/>
        <s v="2016-2"/>
        <s v=""/>
      </sharedItems>
    </cacheField>
    <cacheField name="Ciclo realizado (mês)" numFmtId="0">
      <sharedItems containsMixedTypes="1" containsNumber="1" containsInteger="1" minValue="4" maxValue="5"/>
    </cacheField>
    <cacheField name="Ciclo realizado (ano)" numFmtId="0">
      <sharedItems containsMixedTypes="1" containsNumber="1" containsInteger="1" minValue="2016" maxValue="2016"/>
    </cacheField>
    <cacheField name="Chave realizado" numFmtId="0">
      <sharedItems count="3">
        <s v="2016-4"/>
        <s v="2016-5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3"/>
    <n v="2016"/>
    <x v="0"/>
    <n v="4"/>
    <n v="2016"/>
    <x v="0"/>
  </r>
  <r>
    <n v="2"/>
    <n v="2016"/>
    <x v="1"/>
    <n v="5"/>
    <n v="2016"/>
    <x v="1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  <r>
    <s v=""/>
    <s v=""/>
    <x v="2"/>
    <s v=""/>
    <s v="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S5:U22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P120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0.5703125" customWidth="1"/>
    <col min="2" max="2" width="6.85546875" customWidth="1"/>
    <col min="3" max="3" width="7.5703125" customWidth="1"/>
    <col min="4" max="4" width="17.85546875" customWidth="1"/>
    <col min="5" max="5" width="21.7109375" customWidth="1"/>
    <col min="6" max="6" width="14.7109375" hidden="1" customWidth="1"/>
    <col min="7" max="7" width="14.28515625" hidden="1" customWidth="1"/>
    <col min="8" max="8" width="10.7109375" customWidth="1"/>
    <col min="9" max="9" width="6.5703125" customWidth="1"/>
    <col min="10" max="11" width="14.7109375" customWidth="1"/>
    <col min="12" max="12" width="0.85546875" customWidth="1"/>
    <col min="13" max="13" width="14" hidden="1" customWidth="1"/>
    <col min="14" max="15" width="14.7109375" hidden="1" customWidth="1"/>
    <col min="16" max="16384" width="9.140625" hidden="1"/>
  </cols>
  <sheetData>
    <row r="1" spans="1:16" s="11" customFormat="1" ht="3" customHeight="1"/>
    <row r="2" spans="1:16" s="4" customFormat="1" ht="49.5" customHeight="1">
      <c r="A2" s="6"/>
      <c r="B2" s="47" t="s">
        <v>17</v>
      </c>
      <c r="C2" s="47"/>
      <c r="D2" s="47"/>
      <c r="E2" s="47"/>
      <c r="F2" s="47"/>
      <c r="G2" s="47"/>
      <c r="H2" s="47"/>
      <c r="I2" s="47"/>
      <c r="J2" s="47"/>
      <c r="K2" s="47"/>
      <c r="L2" s="11"/>
      <c r="M2" s="11"/>
      <c r="N2" s="11"/>
      <c r="O2" s="11"/>
      <c r="P2" s="11"/>
    </row>
    <row r="3" spans="1:16" ht="15" customHeight="1">
      <c r="B3" s="23"/>
      <c r="C3" s="22"/>
      <c r="D3" s="22"/>
      <c r="E3" s="22"/>
      <c r="F3" s="22"/>
      <c r="G3" s="22"/>
      <c r="H3" s="2"/>
      <c r="I3" s="2"/>
      <c r="J3" s="2"/>
      <c r="K3" s="3"/>
      <c r="L3" s="17"/>
      <c r="M3" s="17"/>
      <c r="N3" s="17"/>
      <c r="O3" s="17"/>
      <c r="P3" s="17"/>
    </row>
    <row r="4" spans="1:16" ht="15" customHeight="1" thickBot="1">
      <c r="B4" s="10"/>
      <c r="C4" s="2"/>
      <c r="D4" s="2"/>
      <c r="E4" s="2"/>
      <c r="F4" s="2"/>
      <c r="G4" s="2"/>
      <c r="H4" s="2"/>
      <c r="I4" s="2"/>
      <c r="J4" s="2"/>
      <c r="K4" s="3"/>
    </row>
    <row r="5" spans="1:16" ht="19.5" thickBot="1">
      <c r="B5" s="10"/>
      <c r="C5" s="44" t="s">
        <v>0</v>
      </c>
      <c r="D5" s="45"/>
      <c r="E5" s="46"/>
      <c r="F5" s="2"/>
      <c r="G5" s="2"/>
      <c r="H5" s="2"/>
      <c r="I5" s="2"/>
      <c r="J5" s="2"/>
      <c r="K5" s="3"/>
    </row>
    <row r="6" spans="1:16" ht="15" customHeight="1">
      <c r="B6" s="10"/>
      <c r="C6" s="9"/>
      <c r="D6" s="13"/>
      <c r="E6" s="14"/>
      <c r="F6" s="2"/>
      <c r="G6" s="2"/>
      <c r="H6" s="2"/>
      <c r="I6" s="2"/>
      <c r="J6" s="2"/>
      <c r="K6" s="3"/>
    </row>
    <row r="7" spans="1:16" ht="15" customHeight="1">
      <c r="B7" s="10"/>
      <c r="C7" s="18"/>
      <c r="D7" s="19"/>
      <c r="E7" s="24"/>
      <c r="F7" s="2"/>
      <c r="G7" s="2"/>
      <c r="H7" s="2"/>
      <c r="I7" s="2"/>
      <c r="J7" s="2"/>
      <c r="K7" s="3"/>
    </row>
    <row r="8" spans="1:16" ht="15" customHeight="1">
      <c r="B8" s="10"/>
      <c r="C8" s="26"/>
      <c r="D8" s="27"/>
      <c r="E8" s="25"/>
      <c r="F8" s="2"/>
      <c r="G8" s="2"/>
      <c r="H8" s="2"/>
      <c r="I8" s="2"/>
      <c r="J8" s="2"/>
      <c r="K8" s="3"/>
    </row>
    <row r="9" spans="1:16" ht="15" customHeight="1">
      <c r="B9" s="10"/>
      <c r="C9" s="18"/>
      <c r="D9" s="19"/>
      <c r="E9" s="24"/>
      <c r="F9" s="2"/>
      <c r="G9" s="2"/>
      <c r="H9" s="2"/>
      <c r="I9" s="2"/>
      <c r="J9" s="2"/>
      <c r="K9" s="3"/>
    </row>
    <row r="10" spans="1:16" ht="15" customHeight="1">
      <c r="B10" s="10"/>
      <c r="C10" s="26"/>
      <c r="D10" s="27"/>
      <c r="E10" s="25"/>
      <c r="F10" s="2"/>
      <c r="G10" s="2"/>
      <c r="H10" s="2"/>
      <c r="I10" s="2"/>
      <c r="J10" s="2"/>
      <c r="K10" s="3"/>
    </row>
    <row r="11" spans="1:16" ht="15" customHeight="1">
      <c r="B11" s="10"/>
      <c r="C11" s="18"/>
      <c r="D11" s="19"/>
      <c r="E11" s="24"/>
      <c r="F11" s="2"/>
      <c r="G11" s="2"/>
      <c r="H11" s="2"/>
      <c r="I11" s="2"/>
      <c r="J11" s="2"/>
      <c r="K11" s="3"/>
    </row>
    <row r="12" spans="1:16" ht="15" customHeight="1">
      <c r="B12" s="10"/>
      <c r="C12" s="26"/>
      <c r="D12" s="27"/>
      <c r="E12" s="25"/>
      <c r="F12" s="2"/>
      <c r="G12" s="2"/>
      <c r="H12" s="2"/>
      <c r="I12" s="2"/>
      <c r="J12" s="2"/>
      <c r="K12" s="3"/>
    </row>
    <row r="13" spans="1:16" ht="15" customHeight="1" thickBot="1">
      <c r="B13" s="10"/>
      <c r="C13" s="21"/>
      <c r="D13" s="20"/>
      <c r="E13" s="28"/>
      <c r="F13" s="2"/>
      <c r="G13" s="2"/>
      <c r="H13" s="2"/>
      <c r="I13" s="2"/>
      <c r="J13" s="2"/>
      <c r="K13" s="3"/>
    </row>
    <row r="14" spans="1:16" ht="15" customHeight="1">
      <c r="B14" s="10"/>
      <c r="C14" s="2"/>
      <c r="D14" s="2"/>
      <c r="E14" s="2"/>
      <c r="F14" s="2"/>
      <c r="G14" s="2"/>
      <c r="H14" s="2"/>
      <c r="I14" s="2"/>
      <c r="J14" s="2"/>
      <c r="K14" s="3"/>
    </row>
    <row r="15" spans="1:16" ht="15" customHeight="1">
      <c r="B15" s="10"/>
      <c r="C15" s="2"/>
      <c r="D15" s="2"/>
      <c r="E15" s="2"/>
      <c r="F15" s="2"/>
      <c r="G15" s="2"/>
      <c r="H15" s="2"/>
      <c r="I15" s="2"/>
      <c r="J15" s="2"/>
      <c r="K15" s="3"/>
    </row>
    <row r="16" spans="1:16" ht="15" customHeight="1">
      <c r="B16" s="10"/>
      <c r="C16" s="2"/>
      <c r="D16" s="2"/>
      <c r="E16" s="2"/>
      <c r="F16" s="2"/>
      <c r="G16" s="2"/>
      <c r="H16" s="2"/>
      <c r="I16" s="2"/>
      <c r="J16" s="2"/>
      <c r="K16" s="3"/>
    </row>
    <row r="17" spans="2:11" ht="15" customHeight="1">
      <c r="B17" s="10"/>
      <c r="C17" s="2"/>
      <c r="D17" s="2"/>
      <c r="E17" s="2"/>
      <c r="F17" s="2"/>
      <c r="G17" s="2"/>
      <c r="H17" s="2"/>
      <c r="I17" s="2"/>
      <c r="J17" s="2"/>
      <c r="K17" s="3"/>
    </row>
    <row r="18" spans="2:11" ht="15" hidden="1" customHeight="1">
      <c r="B18" s="10"/>
      <c r="C18" s="2"/>
      <c r="D18" s="2"/>
      <c r="E18" s="2"/>
      <c r="F18" s="2"/>
      <c r="G18" s="2"/>
      <c r="H18" s="2"/>
      <c r="I18" s="2"/>
      <c r="J18" s="2"/>
      <c r="K18" s="3"/>
    </row>
    <row r="19" spans="2:11" ht="15" hidden="1" customHeight="1">
      <c r="B19" s="10"/>
      <c r="C19" s="2"/>
      <c r="D19" s="2"/>
      <c r="E19" s="2"/>
      <c r="F19" s="2"/>
      <c r="G19" s="2"/>
      <c r="H19" s="2"/>
      <c r="I19" s="2"/>
      <c r="J19" s="2"/>
      <c r="K19" s="3"/>
    </row>
    <row r="20" spans="2:11" ht="15" hidden="1" customHeight="1">
      <c r="B20" s="10"/>
      <c r="C20" s="2"/>
      <c r="D20" s="2"/>
      <c r="E20" s="2"/>
      <c r="F20" s="2"/>
      <c r="G20" s="2"/>
      <c r="H20" s="2"/>
      <c r="I20" s="2"/>
      <c r="J20" s="2"/>
      <c r="K20" s="3"/>
    </row>
    <row r="21" spans="2:11" ht="15" hidden="1" customHeight="1">
      <c r="B21" s="10"/>
      <c r="C21" s="2"/>
      <c r="D21" s="2"/>
      <c r="E21" s="2"/>
      <c r="F21" s="2"/>
      <c r="G21" s="2"/>
      <c r="H21" s="2"/>
      <c r="I21" s="2"/>
      <c r="J21" s="2"/>
      <c r="K21" s="3"/>
    </row>
    <row r="22" spans="2:11" ht="15" hidden="1" customHeight="1">
      <c r="B22" s="10"/>
      <c r="C22" s="2"/>
      <c r="D22" s="2"/>
      <c r="E22" s="2"/>
      <c r="F22" s="2"/>
      <c r="G22" s="2"/>
      <c r="H22" s="2"/>
      <c r="I22" s="2"/>
      <c r="J22" s="2"/>
      <c r="K22" s="3"/>
    </row>
    <row r="23" spans="2:11" ht="15" hidden="1" customHeight="1">
      <c r="B23" s="10"/>
      <c r="C23" s="2"/>
      <c r="D23" s="2"/>
      <c r="E23" s="2"/>
      <c r="F23" s="2"/>
      <c r="G23" s="2"/>
      <c r="H23" s="2"/>
      <c r="I23" s="2"/>
      <c r="J23" s="2"/>
      <c r="K23" s="3"/>
    </row>
    <row r="24" spans="2:11" ht="15" hidden="1" customHeight="1">
      <c r="B24" s="10"/>
      <c r="C24" s="2"/>
      <c r="D24" s="2"/>
      <c r="E24" s="2"/>
      <c r="F24" s="2"/>
      <c r="G24" s="2"/>
      <c r="H24" s="2"/>
      <c r="I24" s="2"/>
      <c r="J24" s="2"/>
      <c r="K24" s="3"/>
    </row>
    <row r="25" spans="2:11" ht="15" hidden="1" customHeight="1">
      <c r="B25" s="10"/>
      <c r="C25" s="2"/>
      <c r="D25" s="2"/>
      <c r="E25" s="2"/>
      <c r="F25" s="2"/>
      <c r="G25" s="2"/>
      <c r="H25" s="2"/>
      <c r="I25" s="2"/>
      <c r="J25" s="2"/>
      <c r="K25" s="3"/>
    </row>
    <row r="26" spans="2:11" ht="15" hidden="1" customHeight="1">
      <c r="B26" s="10"/>
      <c r="C26" s="2"/>
      <c r="D26" s="2"/>
      <c r="E26" s="2"/>
      <c r="F26" s="2"/>
      <c r="G26" s="2"/>
      <c r="H26" s="2"/>
      <c r="I26" s="2"/>
      <c r="J26" s="2"/>
      <c r="K26" s="3"/>
    </row>
    <row r="27" spans="2:11" ht="15" hidden="1" customHeight="1">
      <c r="B27" s="10"/>
      <c r="C27" s="2"/>
      <c r="D27" s="2"/>
      <c r="E27" s="2"/>
      <c r="F27" s="2"/>
      <c r="G27" s="2"/>
      <c r="H27" s="2"/>
      <c r="I27" s="2"/>
      <c r="J27" s="2"/>
      <c r="K27" s="3"/>
    </row>
    <row r="28" spans="2:11" ht="15" hidden="1" customHeight="1">
      <c r="B28" s="10"/>
      <c r="C28" s="2"/>
      <c r="D28" s="2"/>
      <c r="E28" s="2"/>
      <c r="F28" s="2"/>
      <c r="G28" s="2"/>
      <c r="H28" s="2"/>
      <c r="I28" s="2"/>
      <c r="J28" s="2"/>
      <c r="K28" s="3"/>
    </row>
    <row r="29" spans="2:11" ht="15" hidden="1" customHeight="1">
      <c r="B29" s="10"/>
      <c r="C29" s="2"/>
      <c r="D29" s="2"/>
      <c r="E29" s="2"/>
      <c r="F29" s="2"/>
      <c r="G29" s="2"/>
      <c r="H29" s="2"/>
      <c r="I29" s="2"/>
      <c r="J29" s="2"/>
      <c r="K29" s="3"/>
    </row>
    <row r="30" spans="2:11" ht="15" hidden="1" customHeight="1">
      <c r="B30" s="10"/>
      <c r="C30" s="2"/>
      <c r="D30" s="2"/>
      <c r="E30" s="2"/>
      <c r="F30" s="2"/>
      <c r="G30" s="2"/>
      <c r="H30" s="2"/>
      <c r="I30" s="2"/>
      <c r="J30" s="2"/>
      <c r="K30" s="3"/>
    </row>
    <row r="31" spans="2:11" ht="15" hidden="1" customHeight="1">
      <c r="B31" s="10"/>
      <c r="C31" s="2"/>
      <c r="D31" s="2"/>
      <c r="E31" s="2"/>
      <c r="F31" s="2"/>
      <c r="G31" s="2"/>
      <c r="H31" s="2"/>
      <c r="I31" s="2"/>
      <c r="J31" s="2"/>
      <c r="K31" s="3"/>
    </row>
    <row r="32" spans="2:11" ht="15" hidden="1" customHeight="1">
      <c r="B32" s="10"/>
      <c r="C32" s="2"/>
      <c r="D32" s="2"/>
      <c r="E32" s="2"/>
      <c r="F32" s="2"/>
      <c r="G32" s="2"/>
      <c r="H32" s="2"/>
      <c r="I32" s="2"/>
      <c r="J32" s="2"/>
      <c r="K32" s="3"/>
    </row>
    <row r="33" spans="2:11" ht="15" hidden="1" customHeight="1">
      <c r="B33" s="10"/>
      <c r="C33" s="2"/>
      <c r="D33" s="2"/>
      <c r="E33" s="2"/>
      <c r="F33" s="2"/>
      <c r="G33" s="2"/>
      <c r="H33" s="2"/>
      <c r="I33" s="2"/>
      <c r="J33" s="2"/>
      <c r="K33" s="3"/>
    </row>
    <row r="34" spans="2:11" ht="15" hidden="1" customHeight="1">
      <c r="B34" s="10"/>
      <c r="C34" s="2"/>
      <c r="D34" s="2"/>
      <c r="E34" s="2"/>
      <c r="F34" s="2"/>
      <c r="G34" s="2"/>
      <c r="H34" s="2"/>
      <c r="I34" s="2"/>
      <c r="J34" s="2"/>
      <c r="K34" s="3"/>
    </row>
    <row r="35" spans="2:11" ht="15" hidden="1" customHeight="1">
      <c r="B35" s="10"/>
      <c r="C35" s="2"/>
      <c r="D35" s="2"/>
      <c r="E35" s="2"/>
      <c r="F35" s="2"/>
      <c r="G35" s="2"/>
      <c r="H35" s="2"/>
      <c r="I35" s="2"/>
      <c r="J35" s="2"/>
      <c r="K35" s="3"/>
    </row>
    <row r="36" spans="2:11" ht="15" hidden="1" customHeight="1">
      <c r="B36" s="10"/>
      <c r="C36" s="2"/>
      <c r="D36" s="2"/>
      <c r="E36" s="2"/>
      <c r="F36" s="2"/>
      <c r="G36" s="2"/>
      <c r="H36" s="2"/>
      <c r="I36" s="2"/>
      <c r="J36" s="2"/>
      <c r="K36" s="3"/>
    </row>
    <row r="37" spans="2:11" ht="15" hidden="1" customHeight="1">
      <c r="B37" s="10"/>
      <c r="C37" s="2"/>
      <c r="D37" s="2"/>
      <c r="E37" s="2"/>
      <c r="F37" s="2"/>
      <c r="G37" s="2"/>
      <c r="H37" s="2"/>
      <c r="I37" s="2"/>
      <c r="J37" s="2"/>
      <c r="K37" s="3"/>
    </row>
    <row r="38" spans="2:11" ht="15" hidden="1" customHeight="1">
      <c r="B38" s="10"/>
      <c r="C38" s="2"/>
      <c r="D38" s="2"/>
      <c r="E38" s="2"/>
      <c r="F38" s="2"/>
      <c r="G38" s="2"/>
      <c r="H38" s="2"/>
      <c r="I38" s="2"/>
      <c r="J38" s="2"/>
      <c r="K38" s="3"/>
    </row>
    <row r="39" spans="2:11" ht="15" hidden="1" customHeight="1">
      <c r="B39" s="10"/>
      <c r="C39" s="2"/>
      <c r="D39" s="2"/>
      <c r="E39" s="2"/>
      <c r="F39" s="2"/>
      <c r="G39" s="2"/>
      <c r="H39" s="2"/>
      <c r="I39" s="2"/>
      <c r="J39" s="2"/>
      <c r="K39" s="3"/>
    </row>
    <row r="40" spans="2:11" ht="15" hidden="1" customHeight="1">
      <c r="B40" s="10"/>
      <c r="C40" s="2"/>
      <c r="D40" s="2"/>
      <c r="E40" s="2"/>
      <c r="F40" s="2"/>
      <c r="G40" s="2"/>
      <c r="H40" s="2"/>
      <c r="I40" s="2"/>
      <c r="J40" s="2"/>
      <c r="K40" s="3"/>
    </row>
    <row r="41" spans="2:11" ht="15" hidden="1" customHeight="1">
      <c r="B41" s="10"/>
      <c r="C41" s="2"/>
      <c r="D41" s="2"/>
      <c r="E41" s="2"/>
      <c r="F41" s="2"/>
      <c r="G41" s="2"/>
      <c r="H41" s="2"/>
      <c r="I41" s="2"/>
      <c r="J41" s="2"/>
      <c r="K41" s="3"/>
    </row>
    <row r="42" spans="2:11" ht="15" hidden="1" customHeight="1">
      <c r="B42" s="10"/>
      <c r="C42" s="2"/>
      <c r="D42" s="2"/>
      <c r="E42" s="2"/>
      <c r="F42" s="2"/>
      <c r="G42" s="2"/>
      <c r="H42" s="2"/>
      <c r="I42" s="2"/>
      <c r="J42" s="2"/>
      <c r="K42" s="3"/>
    </row>
    <row r="43" spans="2:11" ht="15" hidden="1" customHeight="1">
      <c r="B43" s="10"/>
      <c r="C43" s="2"/>
      <c r="D43" s="2"/>
      <c r="E43" s="2"/>
      <c r="F43" s="2"/>
      <c r="G43" s="2"/>
      <c r="H43" s="2"/>
      <c r="I43" s="2"/>
      <c r="J43" s="2"/>
      <c r="K43" s="3"/>
    </row>
    <row r="44" spans="2:11" ht="15" hidden="1" customHeight="1">
      <c r="B44" s="10"/>
      <c r="C44" s="2"/>
      <c r="D44" s="2"/>
      <c r="E44" s="2"/>
      <c r="F44" s="2"/>
      <c r="G44" s="2"/>
      <c r="H44" s="2"/>
      <c r="I44" s="2"/>
      <c r="J44" s="2"/>
      <c r="K44" s="3"/>
    </row>
    <row r="45" spans="2:11" ht="15" hidden="1" customHeight="1">
      <c r="B45" s="10"/>
      <c r="C45" s="2"/>
      <c r="D45" s="2"/>
      <c r="E45" s="2"/>
      <c r="F45" s="2"/>
      <c r="G45" s="2"/>
      <c r="H45" s="2"/>
      <c r="I45" s="2"/>
      <c r="J45" s="2"/>
      <c r="K45" s="3"/>
    </row>
    <row r="46" spans="2:11" ht="15" hidden="1" customHeight="1">
      <c r="B46" s="10"/>
      <c r="C46" s="2"/>
      <c r="D46" s="2"/>
      <c r="E46" s="2"/>
      <c r="F46" s="2"/>
      <c r="G46" s="2"/>
      <c r="H46" s="2"/>
      <c r="I46" s="2"/>
      <c r="J46" s="2"/>
      <c r="K46" s="3"/>
    </row>
    <row r="47" spans="2:11" ht="15" hidden="1" customHeight="1">
      <c r="B47" s="10"/>
      <c r="C47" s="2"/>
      <c r="D47" s="2"/>
      <c r="E47" s="2"/>
      <c r="F47" s="2"/>
      <c r="G47" s="2"/>
      <c r="H47" s="2"/>
      <c r="I47" s="2"/>
      <c r="J47" s="2"/>
      <c r="K47" s="3"/>
    </row>
    <row r="48" spans="2:11" ht="15" hidden="1" customHeight="1">
      <c r="B48" s="10"/>
      <c r="C48" s="2"/>
      <c r="D48" s="2"/>
      <c r="E48" s="2"/>
      <c r="F48" s="2"/>
      <c r="G48" s="2"/>
      <c r="H48" s="2"/>
      <c r="I48" s="2"/>
      <c r="J48" s="2"/>
      <c r="K48" s="3"/>
    </row>
    <row r="49" spans="2:11" ht="15" hidden="1" customHeight="1">
      <c r="B49" s="10"/>
      <c r="C49" s="2"/>
      <c r="D49" s="2"/>
      <c r="E49" s="2"/>
      <c r="F49" s="2"/>
      <c r="G49" s="2"/>
      <c r="H49" s="2"/>
      <c r="I49" s="2"/>
      <c r="J49" s="2"/>
      <c r="K49" s="3"/>
    </row>
    <row r="50" spans="2:11" ht="15" hidden="1" customHeight="1">
      <c r="B50" s="10"/>
      <c r="C50" s="2"/>
      <c r="D50" s="2"/>
      <c r="E50" s="2"/>
      <c r="F50" s="2"/>
      <c r="G50" s="2"/>
      <c r="H50" s="2"/>
      <c r="I50" s="2"/>
      <c r="J50" s="2"/>
      <c r="K50" s="3"/>
    </row>
    <row r="51" spans="2:11" ht="15" hidden="1" customHeight="1">
      <c r="B51" s="10"/>
      <c r="C51" s="2"/>
      <c r="D51" s="2"/>
      <c r="E51" s="2"/>
      <c r="F51" s="2"/>
      <c r="G51" s="2"/>
      <c r="H51" s="2"/>
      <c r="I51" s="2"/>
      <c r="J51" s="2"/>
      <c r="K51" s="3"/>
    </row>
    <row r="52" spans="2:11" ht="15" hidden="1" customHeight="1">
      <c r="B52" s="10"/>
      <c r="C52" s="2"/>
      <c r="D52" s="2"/>
      <c r="E52" s="2"/>
      <c r="F52" s="2"/>
      <c r="G52" s="2"/>
      <c r="H52" s="2"/>
      <c r="I52" s="2"/>
      <c r="J52" s="2"/>
      <c r="K52" s="3"/>
    </row>
    <row r="53" spans="2:11" ht="15" hidden="1" customHeight="1">
      <c r="B53" s="10"/>
      <c r="C53" s="2"/>
      <c r="D53" s="2"/>
      <c r="E53" s="2"/>
      <c r="F53" s="2"/>
      <c r="G53" s="2"/>
      <c r="H53" s="2"/>
      <c r="I53" s="2"/>
      <c r="J53" s="2"/>
      <c r="K53" s="3"/>
    </row>
    <row r="54" spans="2:11" ht="15" hidden="1" customHeight="1">
      <c r="B54" s="10"/>
      <c r="C54" s="2"/>
      <c r="D54" s="2"/>
      <c r="E54" s="2"/>
      <c r="F54" s="2"/>
      <c r="G54" s="2"/>
      <c r="H54" s="2"/>
      <c r="I54" s="2"/>
      <c r="J54" s="2"/>
      <c r="K54" s="3"/>
    </row>
    <row r="55" spans="2:11" ht="15" hidden="1" customHeight="1">
      <c r="B55" s="10"/>
      <c r="C55" s="2"/>
      <c r="D55" s="2"/>
      <c r="E55" s="2"/>
      <c r="F55" s="2"/>
      <c r="G55" s="2"/>
      <c r="H55" s="2"/>
      <c r="I55" s="2"/>
      <c r="J55" s="2"/>
      <c r="K55" s="3"/>
    </row>
    <row r="56" spans="2:11" ht="15" hidden="1" customHeight="1">
      <c r="B56" s="10"/>
      <c r="C56" s="2"/>
      <c r="D56" s="2"/>
      <c r="E56" s="2"/>
      <c r="F56" s="2"/>
      <c r="G56" s="2"/>
      <c r="H56" s="2"/>
      <c r="I56" s="2"/>
      <c r="J56" s="2"/>
      <c r="K56" s="3"/>
    </row>
    <row r="57" spans="2:11" ht="15" hidden="1" customHeight="1">
      <c r="B57" s="10"/>
      <c r="C57" s="2"/>
      <c r="D57" s="2"/>
      <c r="E57" s="2"/>
      <c r="F57" s="2"/>
      <c r="G57" s="2"/>
      <c r="H57" s="2"/>
      <c r="I57" s="2"/>
      <c r="J57" s="2"/>
      <c r="K57" s="3"/>
    </row>
    <row r="58" spans="2:11" ht="15" hidden="1" customHeight="1">
      <c r="B58" s="10"/>
      <c r="C58" s="2"/>
      <c r="D58" s="2"/>
      <c r="E58" s="2"/>
      <c r="F58" s="2"/>
      <c r="G58" s="2"/>
      <c r="H58" s="2"/>
      <c r="I58" s="2"/>
      <c r="J58" s="2"/>
      <c r="K58" s="3"/>
    </row>
    <row r="59" spans="2:11" ht="15" hidden="1" customHeight="1">
      <c r="B59" s="10"/>
      <c r="C59" s="2"/>
      <c r="D59" s="2"/>
      <c r="E59" s="2"/>
      <c r="F59" s="2"/>
      <c r="G59" s="2"/>
      <c r="H59" s="2"/>
      <c r="I59" s="2"/>
      <c r="J59" s="2"/>
      <c r="K59" s="3"/>
    </row>
    <row r="60" spans="2:11" ht="15" hidden="1" customHeight="1">
      <c r="B60" s="10"/>
      <c r="C60" s="2"/>
      <c r="D60" s="2"/>
      <c r="E60" s="2"/>
      <c r="F60" s="2"/>
      <c r="G60" s="2"/>
      <c r="H60" s="2"/>
      <c r="I60" s="2"/>
      <c r="J60" s="2"/>
      <c r="K60" s="3"/>
    </row>
    <row r="61" spans="2:11" ht="15" hidden="1" customHeight="1">
      <c r="B61" s="10"/>
      <c r="C61" s="2"/>
      <c r="D61" s="2"/>
      <c r="E61" s="2"/>
      <c r="F61" s="2"/>
      <c r="G61" s="2"/>
      <c r="H61" s="2"/>
      <c r="I61" s="2"/>
      <c r="J61" s="2"/>
      <c r="K61" s="3"/>
    </row>
    <row r="62" spans="2:11" ht="15" hidden="1" customHeight="1">
      <c r="B62" s="10"/>
      <c r="C62" s="2"/>
      <c r="D62" s="2"/>
      <c r="E62" s="2"/>
      <c r="F62" s="2"/>
      <c r="G62" s="2"/>
      <c r="H62" s="2"/>
      <c r="I62" s="2"/>
      <c r="J62" s="2"/>
      <c r="K62" s="3"/>
    </row>
    <row r="63" spans="2:11" ht="15" hidden="1" customHeight="1">
      <c r="B63" s="10"/>
      <c r="C63" s="2"/>
      <c r="D63" s="2"/>
      <c r="E63" s="2"/>
      <c r="F63" s="2"/>
      <c r="G63" s="2"/>
      <c r="H63" s="2"/>
      <c r="I63" s="2"/>
      <c r="J63" s="2"/>
      <c r="K63" s="3"/>
    </row>
    <row r="64" spans="2:11" ht="15" hidden="1" customHeight="1">
      <c r="B64" s="10"/>
      <c r="C64" s="2"/>
      <c r="D64" s="2"/>
      <c r="E64" s="2"/>
      <c r="F64" s="2"/>
      <c r="G64" s="2"/>
      <c r="H64" s="2"/>
      <c r="I64" s="2"/>
      <c r="J64" s="2"/>
      <c r="K64" s="3"/>
    </row>
    <row r="65" spans="2:11" ht="15" hidden="1" customHeight="1">
      <c r="B65" s="10"/>
      <c r="C65" s="2"/>
      <c r="D65" s="2"/>
      <c r="E65" s="2"/>
      <c r="F65" s="2"/>
      <c r="G65" s="2"/>
      <c r="H65" s="2"/>
      <c r="I65" s="2"/>
      <c r="J65" s="2"/>
      <c r="K65" s="3"/>
    </row>
    <row r="66" spans="2:11" ht="15" hidden="1" customHeight="1">
      <c r="B66" s="10"/>
      <c r="C66" s="2"/>
      <c r="D66" s="2"/>
      <c r="E66" s="2"/>
      <c r="F66" s="2"/>
      <c r="G66" s="2"/>
      <c r="H66" s="2"/>
      <c r="I66" s="2"/>
      <c r="J66" s="2"/>
      <c r="K66" s="3"/>
    </row>
    <row r="67" spans="2:11" ht="15" hidden="1" customHeight="1">
      <c r="B67" s="10"/>
      <c r="C67" s="2"/>
      <c r="D67" s="2"/>
      <c r="E67" s="2"/>
      <c r="F67" s="2"/>
      <c r="G67" s="2"/>
      <c r="H67" s="2"/>
      <c r="I67" s="2"/>
      <c r="J67" s="2"/>
      <c r="K67" s="3"/>
    </row>
    <row r="68" spans="2:11" ht="15" hidden="1" customHeight="1">
      <c r="B68" s="10"/>
      <c r="C68" s="2"/>
      <c r="D68" s="2"/>
      <c r="E68" s="2"/>
      <c r="F68" s="2"/>
      <c r="G68" s="2"/>
      <c r="H68" s="2"/>
      <c r="I68" s="2"/>
      <c r="J68" s="2"/>
      <c r="K68" s="3"/>
    </row>
    <row r="69" spans="2:11" ht="15" hidden="1" customHeight="1">
      <c r="B69" s="10"/>
      <c r="C69" s="2"/>
      <c r="D69" s="2"/>
      <c r="E69" s="2"/>
      <c r="F69" s="2"/>
      <c r="G69" s="2"/>
      <c r="H69" s="2"/>
      <c r="I69" s="2"/>
      <c r="J69" s="2"/>
      <c r="K69" s="3"/>
    </row>
    <row r="70" spans="2:11" ht="15" hidden="1" customHeight="1">
      <c r="B70" s="10"/>
      <c r="C70" s="2"/>
      <c r="D70" s="2"/>
      <c r="E70" s="2"/>
      <c r="F70" s="2"/>
      <c r="G70" s="2"/>
      <c r="H70" s="2"/>
      <c r="I70" s="2"/>
      <c r="J70" s="2"/>
      <c r="K70" s="3"/>
    </row>
    <row r="71" spans="2:11" ht="15" hidden="1" customHeight="1">
      <c r="B71" s="10"/>
      <c r="C71" s="2"/>
      <c r="D71" s="2"/>
      <c r="E71" s="2"/>
      <c r="F71" s="2"/>
      <c r="G71" s="2"/>
      <c r="H71" s="2"/>
      <c r="I71" s="2"/>
      <c r="J71" s="2"/>
      <c r="K71" s="3"/>
    </row>
    <row r="72" spans="2:11" ht="15" hidden="1" customHeight="1">
      <c r="B72" s="10"/>
      <c r="C72" s="2"/>
      <c r="D72" s="2"/>
      <c r="E72" s="2"/>
      <c r="F72" s="2"/>
      <c r="G72" s="2"/>
      <c r="H72" s="2"/>
      <c r="I72" s="2"/>
      <c r="J72" s="2"/>
      <c r="K72" s="3"/>
    </row>
    <row r="73" spans="2:11" ht="15" hidden="1" customHeight="1">
      <c r="B73" s="10"/>
      <c r="C73" s="2"/>
      <c r="D73" s="2"/>
      <c r="E73" s="2"/>
      <c r="F73" s="2"/>
      <c r="G73" s="2"/>
      <c r="H73" s="2"/>
      <c r="I73" s="2"/>
      <c r="J73" s="2"/>
      <c r="K73" s="3"/>
    </row>
    <row r="74" spans="2:11" ht="15" hidden="1" customHeight="1">
      <c r="B74" s="10"/>
      <c r="C74" s="2"/>
      <c r="D74" s="2"/>
      <c r="E74" s="2"/>
      <c r="F74" s="2"/>
      <c r="G74" s="2"/>
      <c r="H74" s="2"/>
      <c r="I74" s="2"/>
      <c r="J74" s="2"/>
      <c r="K74" s="3"/>
    </row>
    <row r="75" spans="2:11" ht="15" hidden="1" customHeight="1">
      <c r="B75" s="10"/>
      <c r="C75" s="2"/>
      <c r="D75" s="2"/>
      <c r="E75" s="2"/>
      <c r="F75" s="2"/>
      <c r="G75" s="2"/>
      <c r="H75" s="2"/>
      <c r="I75" s="2"/>
      <c r="J75" s="2"/>
      <c r="K75" s="3"/>
    </row>
    <row r="76" spans="2:11" ht="15" hidden="1" customHeight="1">
      <c r="B76" s="10"/>
      <c r="C76" s="2"/>
      <c r="D76" s="2"/>
      <c r="E76" s="2"/>
      <c r="F76" s="2"/>
      <c r="G76" s="2"/>
      <c r="H76" s="2"/>
      <c r="I76" s="2"/>
      <c r="J76" s="2"/>
      <c r="K76" s="3"/>
    </row>
    <row r="77" spans="2:11" ht="15" hidden="1" customHeight="1">
      <c r="B77" s="10"/>
      <c r="C77" s="2"/>
      <c r="D77" s="2"/>
      <c r="E77" s="2"/>
      <c r="F77" s="2"/>
      <c r="G77" s="2"/>
      <c r="H77" s="2"/>
      <c r="I77" s="2"/>
      <c r="J77" s="2"/>
      <c r="K77" s="3"/>
    </row>
    <row r="78" spans="2:11" ht="15" hidden="1" customHeight="1">
      <c r="B78" s="10"/>
      <c r="C78" s="2"/>
      <c r="D78" s="2"/>
      <c r="E78" s="2"/>
      <c r="F78" s="2"/>
      <c r="G78" s="2"/>
      <c r="H78" s="2"/>
      <c r="I78" s="2"/>
      <c r="J78" s="2"/>
      <c r="K78" s="3"/>
    </row>
    <row r="79" spans="2:11" ht="15" hidden="1" customHeight="1">
      <c r="B79" s="10"/>
      <c r="C79" s="2"/>
      <c r="D79" s="2"/>
      <c r="E79" s="2"/>
      <c r="F79" s="2"/>
      <c r="G79" s="2"/>
      <c r="H79" s="2"/>
      <c r="I79" s="2"/>
      <c r="J79" s="2"/>
      <c r="K79" s="3"/>
    </row>
    <row r="80" spans="2:11" ht="15" hidden="1" customHeight="1">
      <c r="B80" s="10"/>
      <c r="C80" s="2"/>
      <c r="D80" s="2"/>
      <c r="E80" s="2"/>
      <c r="F80" s="2"/>
      <c r="G80" s="2"/>
      <c r="H80" s="2"/>
      <c r="I80" s="2"/>
      <c r="J80" s="2"/>
      <c r="K80" s="3"/>
    </row>
    <row r="81" spans="2:11" ht="15" hidden="1" customHeight="1">
      <c r="B81" s="10"/>
      <c r="C81" s="2"/>
      <c r="D81" s="2"/>
      <c r="E81" s="2"/>
      <c r="F81" s="2"/>
      <c r="G81" s="2"/>
      <c r="H81" s="2"/>
      <c r="I81" s="2"/>
      <c r="J81" s="2"/>
      <c r="K81" s="3"/>
    </row>
    <row r="82" spans="2:11" ht="15" hidden="1" customHeight="1">
      <c r="B82" s="10"/>
      <c r="C82" s="2"/>
      <c r="D82" s="2"/>
      <c r="E82" s="2"/>
      <c r="F82" s="2"/>
      <c r="G82" s="2"/>
      <c r="H82" s="2"/>
      <c r="I82" s="2"/>
      <c r="J82" s="2"/>
      <c r="K82" s="3"/>
    </row>
    <row r="83" spans="2:11" ht="15" hidden="1" customHeight="1">
      <c r="B83" s="10"/>
      <c r="C83" s="2"/>
      <c r="D83" s="2"/>
      <c r="E83" s="2"/>
      <c r="F83" s="2"/>
      <c r="G83" s="2"/>
      <c r="H83" s="2"/>
      <c r="I83" s="2"/>
      <c r="J83" s="2"/>
      <c r="K83" s="3"/>
    </row>
    <row r="84" spans="2:11" ht="15" hidden="1" customHeight="1">
      <c r="B84" s="10"/>
      <c r="C84" s="2"/>
      <c r="D84" s="2"/>
      <c r="E84" s="2"/>
      <c r="F84" s="2"/>
      <c r="G84" s="2"/>
      <c r="H84" s="2"/>
      <c r="I84" s="2"/>
      <c r="J84" s="2"/>
      <c r="K84" s="3"/>
    </row>
    <row r="85" spans="2:11" ht="15" hidden="1" customHeight="1">
      <c r="B85" s="10"/>
      <c r="C85" s="2"/>
      <c r="D85" s="2"/>
      <c r="E85" s="2"/>
      <c r="F85" s="2"/>
      <c r="G85" s="2"/>
      <c r="H85" s="2"/>
      <c r="I85" s="2"/>
      <c r="J85" s="2"/>
      <c r="K85" s="3"/>
    </row>
    <row r="86" spans="2:11" ht="15" hidden="1" customHeight="1">
      <c r="B86" s="10"/>
      <c r="C86" s="2"/>
      <c r="D86" s="2"/>
      <c r="E86" s="2"/>
      <c r="F86" s="2"/>
      <c r="G86" s="2"/>
      <c r="H86" s="2"/>
      <c r="I86" s="2"/>
      <c r="J86" s="2"/>
      <c r="K86" s="3"/>
    </row>
    <row r="87" spans="2:11" ht="15" hidden="1" customHeight="1">
      <c r="B87" s="10"/>
      <c r="C87" s="2"/>
      <c r="D87" s="2"/>
      <c r="E87" s="2"/>
      <c r="F87" s="2"/>
      <c r="G87" s="2"/>
      <c r="H87" s="2"/>
      <c r="I87" s="2"/>
      <c r="J87" s="2"/>
      <c r="K87" s="3"/>
    </row>
    <row r="88" spans="2:11" ht="15" hidden="1" customHeight="1">
      <c r="B88" s="10"/>
      <c r="C88" s="2"/>
      <c r="D88" s="2"/>
      <c r="E88" s="2"/>
      <c r="F88" s="2"/>
      <c r="G88" s="2"/>
      <c r="H88" s="2"/>
      <c r="I88" s="2"/>
      <c r="J88" s="2"/>
      <c r="K88" s="3"/>
    </row>
    <row r="89" spans="2:11" ht="15" hidden="1" customHeight="1">
      <c r="B89" s="10"/>
      <c r="C89" s="2"/>
      <c r="D89" s="2"/>
      <c r="E89" s="2"/>
      <c r="F89" s="2"/>
      <c r="G89" s="2"/>
      <c r="H89" s="2"/>
      <c r="I89" s="2"/>
      <c r="J89" s="2"/>
      <c r="K89" s="3"/>
    </row>
    <row r="90" spans="2:11" ht="15" hidden="1" customHeight="1">
      <c r="B90" s="10"/>
      <c r="C90" s="2"/>
      <c r="D90" s="2"/>
      <c r="E90" s="2"/>
      <c r="F90" s="2"/>
      <c r="G90" s="2"/>
      <c r="H90" s="2"/>
      <c r="I90" s="2"/>
      <c r="J90" s="2"/>
      <c r="K90" s="3"/>
    </row>
    <row r="91" spans="2:11" ht="15" hidden="1" customHeight="1">
      <c r="B91" s="10"/>
      <c r="C91" s="2"/>
      <c r="D91" s="2"/>
      <c r="E91" s="2"/>
      <c r="F91" s="2"/>
      <c r="G91" s="2"/>
      <c r="H91" s="2"/>
      <c r="I91" s="2"/>
      <c r="J91" s="2"/>
      <c r="K91" s="3"/>
    </row>
    <row r="92" spans="2:11" ht="15" hidden="1" customHeight="1">
      <c r="B92" s="10"/>
      <c r="C92" s="2"/>
      <c r="D92" s="2"/>
      <c r="E92" s="2"/>
      <c r="F92" s="2"/>
      <c r="G92" s="2"/>
      <c r="H92" s="2"/>
      <c r="I92" s="2"/>
      <c r="J92" s="2"/>
      <c r="K92" s="3"/>
    </row>
    <row r="93" spans="2:11" ht="15" hidden="1" customHeight="1">
      <c r="B93" s="10"/>
      <c r="C93" s="2"/>
      <c r="D93" s="2"/>
      <c r="E93" s="2"/>
      <c r="F93" s="2"/>
      <c r="G93" s="2"/>
      <c r="H93" s="2"/>
      <c r="I93" s="2"/>
      <c r="J93" s="2"/>
      <c r="K93" s="3"/>
    </row>
    <row r="94" spans="2:11" ht="15" hidden="1" customHeight="1">
      <c r="B94" s="10"/>
      <c r="C94" s="2"/>
      <c r="D94" s="2"/>
      <c r="E94" s="2"/>
      <c r="F94" s="2"/>
      <c r="G94" s="2"/>
      <c r="H94" s="2"/>
      <c r="I94" s="2"/>
      <c r="J94" s="2"/>
      <c r="K94" s="3"/>
    </row>
    <row r="95" spans="2:11" ht="15" hidden="1" customHeight="1">
      <c r="B95" s="10"/>
      <c r="C95" s="2"/>
      <c r="D95" s="2"/>
      <c r="E95" s="2"/>
      <c r="F95" s="2"/>
      <c r="G95" s="2"/>
      <c r="H95" s="2"/>
      <c r="I95" s="2"/>
      <c r="J95" s="2"/>
      <c r="K95" s="3"/>
    </row>
    <row r="96" spans="2:11" ht="15" hidden="1" customHeight="1">
      <c r="B96" s="10"/>
      <c r="C96" s="2"/>
      <c r="D96" s="2"/>
      <c r="E96" s="2"/>
      <c r="F96" s="2"/>
      <c r="G96" s="2"/>
      <c r="H96" s="2"/>
      <c r="I96" s="2"/>
      <c r="J96" s="2"/>
      <c r="K96" s="3"/>
    </row>
    <row r="97" spans="2:11" ht="15" hidden="1" customHeight="1">
      <c r="B97" s="10"/>
      <c r="C97" s="2"/>
      <c r="D97" s="2"/>
      <c r="E97" s="2"/>
      <c r="F97" s="2"/>
      <c r="G97" s="2"/>
      <c r="H97" s="2"/>
      <c r="I97" s="2"/>
      <c r="J97" s="2"/>
      <c r="K97" s="3"/>
    </row>
    <row r="98" spans="2:11" ht="15" hidden="1" customHeight="1">
      <c r="B98" s="10"/>
      <c r="C98" s="2"/>
      <c r="D98" s="2"/>
      <c r="E98" s="2"/>
      <c r="F98" s="2"/>
      <c r="G98" s="2"/>
      <c r="H98" s="2"/>
      <c r="I98" s="2"/>
      <c r="J98" s="2"/>
      <c r="K98" s="3"/>
    </row>
    <row r="99" spans="2:11" ht="15" hidden="1" customHeight="1">
      <c r="B99" s="10"/>
      <c r="C99" s="2"/>
      <c r="D99" s="2"/>
      <c r="E99" s="2"/>
      <c r="F99" s="2"/>
      <c r="G99" s="2"/>
      <c r="H99" s="2"/>
      <c r="I99" s="2"/>
      <c r="J99" s="2"/>
      <c r="K99" s="3"/>
    </row>
    <row r="100" spans="2:11" ht="15" hidden="1" customHeight="1">
      <c r="B100" s="10"/>
      <c r="C100" s="2"/>
      <c r="D100" s="2"/>
      <c r="E100" s="2"/>
      <c r="F100" s="2"/>
      <c r="G100" s="2"/>
      <c r="H100" s="2"/>
      <c r="I100" s="2"/>
      <c r="J100" s="2"/>
      <c r="K100" s="3"/>
    </row>
    <row r="101" spans="2:11" ht="15" hidden="1" customHeight="1">
      <c r="B101" s="10"/>
      <c r="C101" s="2"/>
      <c r="D101" s="2"/>
      <c r="E101" s="2"/>
      <c r="F101" s="2"/>
      <c r="G101" s="2"/>
      <c r="H101" s="2"/>
      <c r="I101" s="2"/>
      <c r="J101" s="2"/>
      <c r="K101" s="3"/>
    </row>
    <row r="102" spans="2:11" ht="15" hidden="1" customHeight="1">
      <c r="B102" s="10"/>
      <c r="C102" s="2"/>
      <c r="D102" s="2"/>
      <c r="E102" s="2"/>
      <c r="F102" s="2"/>
      <c r="G102" s="2"/>
      <c r="H102" s="2"/>
      <c r="I102" s="2"/>
      <c r="J102" s="2"/>
      <c r="K102" s="3"/>
    </row>
    <row r="103" spans="2:11" ht="15" hidden="1" customHeight="1">
      <c r="B103" s="10"/>
      <c r="C103" s="2"/>
      <c r="D103" s="2"/>
      <c r="E103" s="2"/>
      <c r="F103" s="2"/>
      <c r="G103" s="2"/>
      <c r="H103" s="2"/>
      <c r="I103" s="2"/>
      <c r="J103" s="2"/>
      <c r="K103" s="3"/>
    </row>
    <row r="104" spans="2:11" ht="15" hidden="1" customHeight="1">
      <c r="B104" s="10"/>
      <c r="C104" s="2"/>
      <c r="D104" s="2"/>
      <c r="E104" s="2"/>
      <c r="F104" s="2"/>
      <c r="G104" s="2"/>
      <c r="H104" s="2"/>
      <c r="I104" s="2"/>
      <c r="J104" s="2"/>
      <c r="K104" s="3"/>
    </row>
    <row r="105" spans="2:11" ht="15" hidden="1" customHeight="1">
      <c r="B105" s="10"/>
      <c r="C105" s="2"/>
      <c r="D105" s="2"/>
      <c r="E105" s="2"/>
      <c r="F105" s="2"/>
      <c r="G105" s="2"/>
      <c r="H105" s="2"/>
      <c r="I105" s="2"/>
      <c r="J105" s="2"/>
      <c r="K105" s="3"/>
    </row>
    <row r="106" spans="2:11" ht="15" hidden="1" customHeight="1">
      <c r="B106" s="10"/>
      <c r="C106" s="2"/>
      <c r="D106" s="2"/>
      <c r="E106" s="2"/>
      <c r="F106" s="2"/>
      <c r="G106" s="2"/>
      <c r="H106" s="2"/>
      <c r="I106" s="2"/>
      <c r="J106" s="2"/>
      <c r="K106" s="3"/>
    </row>
    <row r="107" spans="2:11" ht="15" hidden="1" customHeight="1">
      <c r="B107" s="10"/>
      <c r="C107" s="2"/>
      <c r="D107" s="2"/>
      <c r="E107" s="2"/>
      <c r="F107" s="2"/>
      <c r="G107" s="2"/>
      <c r="H107" s="2"/>
      <c r="I107" s="2"/>
      <c r="J107" s="2"/>
      <c r="K107" s="3"/>
    </row>
    <row r="108" spans="2:11" ht="15" hidden="1" customHeight="1">
      <c r="B108" s="10"/>
      <c r="C108" s="2"/>
      <c r="D108" s="2"/>
      <c r="E108" s="2"/>
      <c r="F108" s="2"/>
      <c r="G108" s="2"/>
      <c r="H108" s="2"/>
      <c r="I108" s="2"/>
      <c r="J108" s="2"/>
      <c r="K108" s="3"/>
    </row>
    <row r="109" spans="2:11" ht="15" hidden="1" customHeight="1">
      <c r="B109" s="10"/>
      <c r="C109" s="2"/>
      <c r="D109" s="2"/>
      <c r="E109" s="2"/>
      <c r="F109" s="2"/>
      <c r="G109" s="2"/>
      <c r="H109" s="2"/>
      <c r="I109" s="2"/>
      <c r="J109" s="2"/>
      <c r="K109" s="3"/>
    </row>
    <row r="110" spans="2:11" ht="15" hidden="1" customHeight="1">
      <c r="B110" s="10"/>
      <c r="C110" s="2"/>
      <c r="D110" s="2"/>
      <c r="E110" s="2"/>
      <c r="F110" s="2"/>
      <c r="G110" s="2"/>
      <c r="H110" s="2"/>
      <c r="I110" s="2"/>
      <c r="J110" s="2"/>
      <c r="K110" s="3"/>
    </row>
    <row r="111" spans="2:11" ht="15" hidden="1" customHeight="1">
      <c r="B111" s="10"/>
      <c r="C111" s="2"/>
      <c r="D111" s="2"/>
      <c r="E111" s="2"/>
      <c r="F111" s="2"/>
      <c r="G111" s="2"/>
      <c r="H111" s="2"/>
      <c r="I111" s="2"/>
      <c r="J111" s="2"/>
      <c r="K111" s="3"/>
    </row>
    <row r="112" spans="2:11" ht="15" hidden="1" customHeight="1">
      <c r="B112" s="10"/>
      <c r="C112" s="2"/>
      <c r="D112" s="2"/>
      <c r="E112" s="2"/>
      <c r="F112" s="2"/>
      <c r="G112" s="2"/>
      <c r="H112" s="2"/>
      <c r="I112" s="2"/>
      <c r="J112" s="2"/>
      <c r="K112" s="3"/>
    </row>
    <row r="113" spans="2:11" ht="15" hidden="1" customHeight="1">
      <c r="B113" s="10"/>
      <c r="C113" s="2"/>
      <c r="D113" s="2"/>
      <c r="E113" s="2"/>
      <c r="F113" s="2"/>
      <c r="G113" s="2"/>
      <c r="H113" s="2"/>
      <c r="I113" s="2"/>
      <c r="J113" s="2"/>
      <c r="K113" s="3"/>
    </row>
    <row r="114" spans="2:11" ht="15" hidden="1" customHeight="1">
      <c r="B114" s="10"/>
      <c r="C114" s="2"/>
      <c r="D114" s="2"/>
      <c r="E114" s="2"/>
      <c r="F114" s="2"/>
      <c r="G114" s="2"/>
      <c r="H114" s="2"/>
      <c r="I114" s="2"/>
      <c r="J114" s="2"/>
      <c r="K114" s="3"/>
    </row>
    <row r="115" spans="2:11" ht="15" hidden="1" customHeight="1">
      <c r="B115" s="10"/>
      <c r="C115" s="2"/>
      <c r="D115" s="2"/>
      <c r="E115" s="2"/>
      <c r="F115" s="2"/>
      <c r="G115" s="2"/>
      <c r="H115" s="2"/>
      <c r="I115" s="2"/>
      <c r="J115" s="2"/>
      <c r="K115" s="3"/>
    </row>
    <row r="116" spans="2:11" ht="15" customHeight="1">
      <c r="B116" s="29"/>
      <c r="C116" s="33"/>
      <c r="D116" s="33"/>
      <c r="E116" s="33"/>
      <c r="F116" s="33"/>
      <c r="G116" s="33"/>
      <c r="H116" s="33"/>
      <c r="I116" s="33"/>
      <c r="J116" s="33"/>
      <c r="K116" s="34"/>
    </row>
    <row r="117" spans="2:11" ht="3.75" customHeight="1"/>
    <row r="118" spans="2:11" ht="15" customHeight="1"/>
    <row r="119" spans="2:11" ht="15" customHeight="1"/>
    <row r="120" spans="2:11" ht="15" customHeight="1"/>
  </sheetData>
  <sheetProtection sheet="1" objects="1" scenarios="1" sort="0" autoFilter="0" pivotTables="0"/>
  <mergeCells count="2">
    <mergeCell ref="C5:E5"/>
    <mergeCell ref="B2:K2"/>
  </mergeCells>
  <pageMargins left="0.511811024" right="0.511811024" top="0.78740157499999996" bottom="0.78740157499999996" header="0.31496062000000002" footer="0.31496062000000002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outlinePr summaryBelow="0"/>
  </sheetPr>
  <dimension ref="A1:P120"/>
  <sheetViews>
    <sheetView showGridLines="0" topLeftCell="A24" zoomScaleNormal="100" workbookViewId="0">
      <selection activeCell="E29" sqref="E29:H31"/>
    </sheetView>
  </sheetViews>
  <sheetFormatPr defaultColWidth="0" defaultRowHeight="15" customHeight="1" zeroHeight="1" outlineLevelRow="1"/>
  <cols>
    <col min="1" max="1" width="0.85546875" customWidth="1"/>
    <col min="2" max="2" width="2.140625" customWidth="1"/>
    <col min="3" max="3" width="10.42578125" customWidth="1"/>
    <col min="4" max="4" width="5.28515625" customWidth="1"/>
    <col min="5" max="5" width="58.7109375" customWidth="1"/>
    <col min="6" max="6" width="30.7109375" customWidth="1"/>
    <col min="7" max="7" width="20.7109375" customWidth="1"/>
    <col min="8" max="8" width="15.28515625" customWidth="1"/>
    <col min="9" max="9" width="1" customWidth="1"/>
    <col min="10" max="10" width="9.140625" hidden="1" customWidth="1"/>
    <col min="11" max="13" width="14.7109375" hidden="1" customWidth="1"/>
    <col min="14" max="14" width="14" hidden="1" customWidth="1"/>
    <col min="15" max="16" width="14.7109375" hidden="1" customWidth="1"/>
    <col min="17" max="16384" width="9.140625" hidden="1"/>
  </cols>
  <sheetData>
    <row r="1" spans="1:16" s="6" customFormat="1" ht="3.75" customHeight="1">
      <c r="H1" s="16"/>
      <c r="I1" s="15"/>
    </row>
    <row r="2" spans="1:16" s="11" customFormat="1" ht="49.5" customHeight="1">
      <c r="A2" s="6"/>
      <c r="B2" s="47" t="s">
        <v>1</v>
      </c>
      <c r="C2" s="47"/>
      <c r="D2" s="47"/>
      <c r="E2" s="47"/>
      <c r="F2" s="47"/>
      <c r="G2" s="47"/>
      <c r="H2" s="51"/>
      <c r="I2" s="12"/>
    </row>
    <row r="3" spans="1:16" ht="15" customHeight="1"/>
    <row r="4" spans="1:16" s="2" customFormat="1" ht="46.5" customHeight="1">
      <c r="A4"/>
      <c r="B4" s="23"/>
      <c r="C4" s="22"/>
      <c r="D4" s="52" t="s">
        <v>2</v>
      </c>
      <c r="E4" s="52"/>
      <c r="F4" s="52"/>
      <c r="G4" s="52"/>
      <c r="H4" s="52"/>
    </row>
    <row r="5" spans="1:16" s="2" customFormat="1" ht="30" customHeight="1" outlineLevel="1">
      <c r="A5"/>
      <c r="B5" s="10"/>
      <c r="D5" s="35" t="s">
        <v>3</v>
      </c>
      <c r="E5" s="35" t="s">
        <v>4</v>
      </c>
      <c r="F5" s="35" t="s">
        <v>5</v>
      </c>
      <c r="G5" s="36" t="s">
        <v>6</v>
      </c>
      <c r="H5" s="37" t="s">
        <v>7</v>
      </c>
      <c r="K5" s="7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</row>
    <row r="6" spans="1:16" s="2" customFormat="1" ht="62.25" customHeight="1" outlineLevel="1">
      <c r="A6"/>
      <c r="B6" s="10"/>
      <c r="C6" s="53" t="s">
        <v>2</v>
      </c>
      <c r="D6" s="38">
        <v>1</v>
      </c>
      <c r="E6" s="30"/>
      <c r="F6" s="30"/>
      <c r="G6" s="31"/>
      <c r="H6" s="43"/>
      <c r="K6" s="8" t="e">
        <f>IF(#REF!="","",MONTH(#REF!))</f>
        <v>#REF!</v>
      </c>
      <c r="L6" s="8" t="e">
        <f>IF(#REF!="","",YEAR(#REF!))</f>
        <v>#REF!</v>
      </c>
      <c r="M6" s="8" t="e">
        <f>IF(K6="","",L6&amp;"-"&amp;K6)</f>
        <v>#REF!</v>
      </c>
      <c r="N6" s="8" t="str">
        <f t="shared" ref="N6:N25" si="0">IF(H6="","",MONTH(H6))</f>
        <v/>
      </c>
      <c r="O6" s="8" t="str">
        <f t="shared" ref="O6:O25" si="1">IF(H6="","",YEAR(H6))</f>
        <v/>
      </c>
      <c r="P6" s="8" t="str">
        <f t="shared" ref="P6:P25" si="2">IF(H6="","",O6&amp;"-"&amp;N6)</f>
        <v/>
      </c>
    </row>
    <row r="7" spans="1:16" s="2" customFormat="1" outlineLevel="1">
      <c r="A7"/>
      <c r="B7" s="10"/>
      <c r="C7" s="53"/>
      <c r="D7" s="38">
        <v>2</v>
      </c>
      <c r="E7" s="30"/>
      <c r="F7" s="30"/>
      <c r="G7" s="31"/>
      <c r="H7" s="43"/>
      <c r="K7" s="8" t="e">
        <f>IF(#REF!="","",MONTH(#REF!))</f>
        <v>#REF!</v>
      </c>
      <c r="L7" s="8" t="e">
        <f>IF(#REF!="","",YEAR(#REF!))</f>
        <v>#REF!</v>
      </c>
      <c r="M7" s="8" t="e">
        <f t="shared" ref="M7:M25" si="3">IF(K7="","",L7&amp;"-"&amp;K7)</f>
        <v>#REF!</v>
      </c>
      <c r="N7" s="8" t="str">
        <f t="shared" si="0"/>
        <v/>
      </c>
      <c r="O7" s="8" t="str">
        <f t="shared" si="1"/>
        <v/>
      </c>
      <c r="P7" s="8" t="str">
        <f t="shared" si="2"/>
        <v/>
      </c>
    </row>
    <row r="8" spans="1:16" s="2" customFormat="1" ht="42.75" customHeight="1" outlineLevel="1">
      <c r="A8"/>
      <c r="B8" s="10"/>
      <c r="C8" s="53"/>
      <c r="D8" s="38">
        <v>3</v>
      </c>
      <c r="E8" s="30"/>
      <c r="F8" s="30"/>
      <c r="G8" s="31"/>
      <c r="H8" s="43"/>
      <c r="K8" s="8" t="e">
        <f>IF(#REF!="","",MONTH(#REF!))</f>
        <v>#REF!</v>
      </c>
      <c r="L8" s="8" t="e">
        <f>IF(#REF!="","",YEAR(#REF!))</f>
        <v>#REF!</v>
      </c>
      <c r="M8" s="8" t="e">
        <f t="shared" si="3"/>
        <v>#REF!</v>
      </c>
      <c r="N8" s="8" t="str">
        <f t="shared" si="0"/>
        <v/>
      </c>
      <c r="O8" s="8" t="str">
        <f t="shared" si="1"/>
        <v/>
      </c>
      <c r="P8" s="8" t="str">
        <f t="shared" si="2"/>
        <v/>
      </c>
    </row>
    <row r="9" spans="1:16" s="2" customFormat="1" ht="30" customHeight="1" outlineLevel="1">
      <c r="A9"/>
      <c r="B9" s="10"/>
      <c r="C9" s="53"/>
      <c r="D9" s="38">
        <v>4</v>
      </c>
      <c r="E9" s="30"/>
      <c r="F9" s="30"/>
      <c r="G9" s="31"/>
      <c r="H9" s="43"/>
      <c r="K9" s="8" t="e">
        <f>IF(#REF!="","",MONTH(#REF!))</f>
        <v>#REF!</v>
      </c>
      <c r="L9" s="8" t="e">
        <f>IF(#REF!="","",YEAR(#REF!))</f>
        <v>#REF!</v>
      </c>
      <c r="M9" s="8" t="e">
        <f t="shared" si="3"/>
        <v>#REF!</v>
      </c>
      <c r="N9" s="8" t="str">
        <f t="shared" si="0"/>
        <v/>
      </c>
      <c r="O9" s="8" t="str">
        <f t="shared" si="1"/>
        <v/>
      </c>
      <c r="P9" s="8" t="str">
        <f t="shared" si="2"/>
        <v/>
      </c>
    </row>
    <row r="10" spans="1:16" s="2" customFormat="1" outlineLevel="1">
      <c r="A10"/>
      <c r="B10" s="10"/>
      <c r="C10" s="53"/>
      <c r="D10" s="38">
        <v>5</v>
      </c>
      <c r="E10" s="30"/>
      <c r="F10" s="30"/>
      <c r="G10" s="31"/>
      <c r="H10" s="43"/>
      <c r="K10" s="8" t="e">
        <f>IF(#REF!="","",MONTH(#REF!))</f>
        <v>#REF!</v>
      </c>
      <c r="L10" s="8" t="e">
        <f>IF(#REF!="","",YEAR(#REF!))</f>
        <v>#REF!</v>
      </c>
      <c r="M10" s="8" t="e">
        <f t="shared" si="3"/>
        <v>#REF!</v>
      </c>
      <c r="N10" s="8" t="str">
        <f t="shared" si="0"/>
        <v/>
      </c>
      <c r="O10" s="8" t="str">
        <f t="shared" si="1"/>
        <v/>
      </c>
      <c r="P10" s="8" t="str">
        <f t="shared" si="2"/>
        <v/>
      </c>
    </row>
    <row r="11" spans="1:16" s="2" customFormat="1" ht="45.75" customHeight="1" outlineLevel="1">
      <c r="A11"/>
      <c r="B11" s="10"/>
      <c r="C11" s="53"/>
      <c r="D11" s="38">
        <v>6</v>
      </c>
      <c r="E11" s="30"/>
      <c r="F11" s="30"/>
      <c r="G11" s="31"/>
      <c r="H11" s="43"/>
      <c r="K11" s="8" t="e">
        <f>IF(#REF!="","",MONTH(#REF!))</f>
        <v>#REF!</v>
      </c>
      <c r="L11" s="8" t="e">
        <f>IF(#REF!="","",YEAR(#REF!))</f>
        <v>#REF!</v>
      </c>
      <c r="M11" s="8" t="e">
        <f t="shared" si="3"/>
        <v>#REF!</v>
      </c>
      <c r="N11" s="8" t="str">
        <f t="shared" si="0"/>
        <v/>
      </c>
      <c r="O11" s="8" t="str">
        <f t="shared" si="1"/>
        <v/>
      </c>
      <c r="P11" s="8" t="str">
        <f t="shared" si="2"/>
        <v/>
      </c>
    </row>
    <row r="12" spans="1:16" s="2" customFormat="1" ht="30" customHeight="1" outlineLevel="1">
      <c r="A12"/>
      <c r="B12" s="10"/>
      <c r="C12" s="53"/>
      <c r="D12" s="38">
        <v>7</v>
      </c>
      <c r="E12" s="30"/>
      <c r="F12" s="30"/>
      <c r="G12" s="31"/>
      <c r="H12" s="43"/>
      <c r="K12" s="8" t="e">
        <f>IF(#REF!="","",MONTH(#REF!))</f>
        <v>#REF!</v>
      </c>
      <c r="L12" s="8" t="e">
        <f>IF(#REF!="","",YEAR(#REF!))</f>
        <v>#REF!</v>
      </c>
      <c r="M12" s="8" t="e">
        <f t="shared" si="3"/>
        <v>#REF!</v>
      </c>
      <c r="N12" s="8" t="str">
        <f t="shared" si="0"/>
        <v/>
      </c>
      <c r="O12" s="8" t="str">
        <f t="shared" si="1"/>
        <v/>
      </c>
      <c r="P12" s="8" t="str">
        <f t="shared" si="2"/>
        <v/>
      </c>
    </row>
    <row r="13" spans="1:16" s="2" customFormat="1" ht="30" customHeight="1" outlineLevel="1">
      <c r="A13"/>
      <c r="B13" s="10"/>
      <c r="C13" s="53"/>
      <c r="D13" s="38">
        <v>8</v>
      </c>
      <c r="E13" s="30"/>
      <c r="F13" s="30"/>
      <c r="G13" s="31"/>
      <c r="H13" s="43"/>
      <c r="K13" s="8" t="e">
        <f>IF(#REF!="","",MONTH(#REF!))</f>
        <v>#REF!</v>
      </c>
      <c r="L13" s="8" t="e">
        <f>IF(#REF!="","",YEAR(#REF!))</f>
        <v>#REF!</v>
      </c>
      <c r="M13" s="8" t="e">
        <f t="shared" si="3"/>
        <v>#REF!</v>
      </c>
      <c r="N13" s="8" t="str">
        <f t="shared" si="0"/>
        <v/>
      </c>
      <c r="O13" s="8" t="str">
        <f t="shared" si="1"/>
        <v/>
      </c>
      <c r="P13" s="8" t="str">
        <f t="shared" si="2"/>
        <v/>
      </c>
    </row>
    <row r="14" spans="1:16" s="2" customFormat="1" ht="30" customHeight="1" outlineLevel="1">
      <c r="A14"/>
      <c r="B14" s="10"/>
      <c r="C14" s="53"/>
      <c r="D14" s="38">
        <v>9</v>
      </c>
      <c r="E14" s="30"/>
      <c r="F14" s="30"/>
      <c r="G14" s="31"/>
      <c r="H14" s="43"/>
      <c r="K14" s="8" t="e">
        <f>IF(#REF!="","",MONTH(#REF!))</f>
        <v>#REF!</v>
      </c>
      <c r="L14" s="8" t="e">
        <f>IF(#REF!="","",YEAR(#REF!))</f>
        <v>#REF!</v>
      </c>
      <c r="M14" s="8" t="e">
        <f t="shared" si="3"/>
        <v>#REF!</v>
      </c>
      <c r="N14" s="8" t="str">
        <f t="shared" si="0"/>
        <v/>
      </c>
      <c r="O14" s="8" t="str">
        <f t="shared" si="1"/>
        <v/>
      </c>
      <c r="P14" s="8" t="str">
        <f t="shared" si="2"/>
        <v/>
      </c>
    </row>
    <row r="15" spans="1:16" s="2" customFormat="1" ht="30" customHeight="1" outlineLevel="1">
      <c r="A15"/>
      <c r="B15" s="10"/>
      <c r="C15" s="53"/>
      <c r="D15" s="38">
        <v>10</v>
      </c>
      <c r="E15" s="30"/>
      <c r="F15" s="30"/>
      <c r="G15" s="31"/>
      <c r="H15" s="43"/>
      <c r="K15" s="8" t="e">
        <f>IF(#REF!="","",MONTH(#REF!))</f>
        <v>#REF!</v>
      </c>
      <c r="L15" s="8" t="e">
        <f>IF(#REF!="","",YEAR(#REF!))</f>
        <v>#REF!</v>
      </c>
      <c r="M15" s="8" t="e">
        <f t="shared" si="3"/>
        <v>#REF!</v>
      </c>
      <c r="N15" s="8" t="str">
        <f t="shared" si="0"/>
        <v/>
      </c>
      <c r="O15" s="8" t="str">
        <f t="shared" si="1"/>
        <v/>
      </c>
      <c r="P15" s="8" t="str">
        <f t="shared" si="2"/>
        <v/>
      </c>
    </row>
    <row r="16" spans="1:16" s="2" customFormat="1" ht="30" customHeight="1" outlineLevel="1">
      <c r="A16"/>
      <c r="B16" s="10"/>
      <c r="C16" s="53"/>
      <c r="D16" s="38">
        <v>11</v>
      </c>
      <c r="E16" s="30"/>
      <c r="F16" s="30"/>
      <c r="G16" s="31"/>
      <c r="H16" s="43"/>
      <c r="K16" s="8" t="e">
        <f>IF(#REF!="","",MONTH(#REF!))</f>
        <v>#REF!</v>
      </c>
      <c r="L16" s="8" t="e">
        <f>IF(#REF!="","",YEAR(#REF!))</f>
        <v>#REF!</v>
      </c>
      <c r="M16" s="8" t="e">
        <f t="shared" si="3"/>
        <v>#REF!</v>
      </c>
      <c r="N16" s="8" t="str">
        <f t="shared" si="0"/>
        <v/>
      </c>
      <c r="O16" s="8" t="str">
        <f t="shared" si="1"/>
        <v/>
      </c>
      <c r="P16" s="8" t="str">
        <f t="shared" si="2"/>
        <v/>
      </c>
    </row>
    <row r="17" spans="1:16" s="2" customFormat="1" ht="30" customHeight="1" outlineLevel="1">
      <c r="A17"/>
      <c r="B17" s="10"/>
      <c r="C17" s="53"/>
      <c r="D17" s="38">
        <v>12</v>
      </c>
      <c r="E17" s="30"/>
      <c r="F17" s="30"/>
      <c r="G17" s="31"/>
      <c r="H17" s="43"/>
      <c r="K17" s="8" t="e">
        <f>IF(#REF!="","",MONTH(#REF!))</f>
        <v>#REF!</v>
      </c>
      <c r="L17" s="8" t="e">
        <f>IF(#REF!="","",YEAR(#REF!))</f>
        <v>#REF!</v>
      </c>
      <c r="M17" s="8" t="e">
        <f t="shared" si="3"/>
        <v>#REF!</v>
      </c>
      <c r="N17" s="8" t="str">
        <f t="shared" si="0"/>
        <v/>
      </c>
      <c r="O17" s="8" t="str">
        <f t="shared" si="1"/>
        <v/>
      </c>
      <c r="P17" s="8" t="str">
        <f t="shared" si="2"/>
        <v/>
      </c>
    </row>
    <row r="18" spans="1:16" s="2" customFormat="1" ht="30" customHeight="1" outlineLevel="1">
      <c r="A18"/>
      <c r="B18" s="10"/>
      <c r="C18" s="53"/>
      <c r="D18" s="38">
        <v>13</v>
      </c>
      <c r="E18" s="30"/>
      <c r="F18" s="30"/>
      <c r="G18" s="31"/>
      <c r="H18" s="43"/>
      <c r="K18" s="8" t="e">
        <f>IF(#REF!="","",MONTH(#REF!))</f>
        <v>#REF!</v>
      </c>
      <c r="L18" s="8" t="e">
        <f>IF(#REF!="","",YEAR(#REF!))</f>
        <v>#REF!</v>
      </c>
      <c r="M18" s="8" t="e">
        <f t="shared" si="3"/>
        <v>#REF!</v>
      </c>
      <c r="N18" s="8" t="str">
        <f t="shared" si="0"/>
        <v/>
      </c>
      <c r="O18" s="8" t="str">
        <f t="shared" si="1"/>
        <v/>
      </c>
      <c r="P18" s="8" t="str">
        <f t="shared" si="2"/>
        <v/>
      </c>
    </row>
    <row r="19" spans="1:16" s="2" customFormat="1" ht="30" customHeight="1" outlineLevel="1">
      <c r="A19"/>
      <c r="B19" s="10"/>
      <c r="C19" s="53"/>
      <c r="D19" s="38">
        <v>14</v>
      </c>
      <c r="E19" s="30"/>
      <c r="F19" s="30"/>
      <c r="G19" s="31"/>
      <c r="H19" s="43"/>
      <c r="K19" s="8" t="e">
        <f>IF(#REF!="","",MONTH(#REF!))</f>
        <v>#REF!</v>
      </c>
      <c r="L19" s="8" t="e">
        <f>IF(#REF!="","",YEAR(#REF!))</f>
        <v>#REF!</v>
      </c>
      <c r="M19" s="8" t="e">
        <f t="shared" si="3"/>
        <v>#REF!</v>
      </c>
      <c r="N19" s="8" t="str">
        <f t="shared" si="0"/>
        <v/>
      </c>
      <c r="O19" s="8" t="str">
        <f t="shared" si="1"/>
        <v/>
      </c>
      <c r="P19" s="8" t="str">
        <f t="shared" si="2"/>
        <v/>
      </c>
    </row>
    <row r="20" spans="1:16" s="2" customFormat="1" ht="30" customHeight="1" outlineLevel="1">
      <c r="A20"/>
      <c r="B20" s="10"/>
      <c r="C20" s="53"/>
      <c r="D20" s="38">
        <v>15</v>
      </c>
      <c r="E20" s="30"/>
      <c r="F20" s="30"/>
      <c r="G20" s="31"/>
      <c r="H20" s="43"/>
      <c r="K20" s="8" t="e">
        <f>IF(#REF!="","",MONTH(#REF!))</f>
        <v>#REF!</v>
      </c>
      <c r="L20" s="8" t="e">
        <f>IF(#REF!="","",YEAR(#REF!))</f>
        <v>#REF!</v>
      </c>
      <c r="M20" s="8" t="e">
        <f t="shared" si="3"/>
        <v>#REF!</v>
      </c>
      <c r="N20" s="8" t="str">
        <f t="shared" si="0"/>
        <v/>
      </c>
      <c r="O20" s="8" t="str">
        <f t="shared" si="1"/>
        <v/>
      </c>
      <c r="P20" s="8" t="str">
        <f t="shared" si="2"/>
        <v/>
      </c>
    </row>
    <row r="21" spans="1:16" s="2" customFormat="1" ht="30" customHeight="1" outlineLevel="1">
      <c r="A21"/>
      <c r="B21" s="10"/>
      <c r="C21" s="53"/>
      <c r="D21" s="38">
        <v>16</v>
      </c>
      <c r="E21" s="30"/>
      <c r="F21" s="30"/>
      <c r="G21" s="31"/>
      <c r="H21" s="43"/>
      <c r="K21" s="8" t="e">
        <f>IF(#REF!="","",MONTH(#REF!))</f>
        <v>#REF!</v>
      </c>
      <c r="L21" s="8" t="e">
        <f>IF(#REF!="","",YEAR(#REF!))</f>
        <v>#REF!</v>
      </c>
      <c r="M21" s="8" t="e">
        <f t="shared" si="3"/>
        <v>#REF!</v>
      </c>
      <c r="N21" s="8" t="str">
        <f t="shared" si="0"/>
        <v/>
      </c>
      <c r="O21" s="8" t="str">
        <f t="shared" si="1"/>
        <v/>
      </c>
      <c r="P21" s="8" t="str">
        <f t="shared" si="2"/>
        <v/>
      </c>
    </row>
    <row r="22" spans="1:16" s="2" customFormat="1" ht="30" customHeight="1" outlineLevel="1">
      <c r="A22"/>
      <c r="B22" s="10"/>
      <c r="C22" s="53"/>
      <c r="D22" s="38">
        <v>17</v>
      </c>
      <c r="E22" s="30"/>
      <c r="F22" s="30"/>
      <c r="G22" s="31"/>
      <c r="H22" s="43"/>
      <c r="K22" s="8" t="e">
        <f>IF(#REF!="","",MONTH(#REF!))</f>
        <v>#REF!</v>
      </c>
      <c r="L22" s="8" t="e">
        <f>IF(#REF!="","",YEAR(#REF!))</f>
        <v>#REF!</v>
      </c>
      <c r="M22" s="8" t="e">
        <f t="shared" si="3"/>
        <v>#REF!</v>
      </c>
      <c r="N22" s="8" t="str">
        <f t="shared" si="0"/>
        <v/>
      </c>
      <c r="O22" s="8" t="str">
        <f t="shared" si="1"/>
        <v/>
      </c>
      <c r="P22" s="8" t="str">
        <f t="shared" si="2"/>
        <v/>
      </c>
    </row>
    <row r="23" spans="1:16" s="2" customFormat="1" ht="30" customHeight="1" outlineLevel="1">
      <c r="A23"/>
      <c r="B23" s="10"/>
      <c r="C23" s="53"/>
      <c r="D23" s="38">
        <v>18</v>
      </c>
      <c r="E23" s="30"/>
      <c r="F23" s="30"/>
      <c r="G23" s="31"/>
      <c r="H23" s="43"/>
      <c r="K23" s="8" t="e">
        <f>IF(#REF!="","",MONTH(#REF!))</f>
        <v>#REF!</v>
      </c>
      <c r="L23" s="8" t="e">
        <f>IF(#REF!="","",YEAR(#REF!))</f>
        <v>#REF!</v>
      </c>
      <c r="M23" s="8" t="e">
        <f t="shared" si="3"/>
        <v>#REF!</v>
      </c>
      <c r="N23" s="8" t="str">
        <f t="shared" si="0"/>
        <v/>
      </c>
      <c r="O23" s="8" t="str">
        <f t="shared" si="1"/>
        <v/>
      </c>
      <c r="P23" s="8" t="str">
        <f t="shared" si="2"/>
        <v/>
      </c>
    </row>
    <row r="24" spans="1:16" s="2" customFormat="1" ht="30" customHeight="1" outlineLevel="1">
      <c r="A24"/>
      <c r="B24" s="10"/>
      <c r="C24" s="53"/>
      <c r="D24" s="38">
        <v>19</v>
      </c>
      <c r="E24" s="30"/>
      <c r="F24" s="30"/>
      <c r="G24" s="31"/>
      <c r="H24" s="43"/>
      <c r="K24" s="8" t="e">
        <f>IF(#REF!="","",MONTH(#REF!))</f>
        <v>#REF!</v>
      </c>
      <c r="L24" s="8" t="e">
        <f>IF(#REF!="","",YEAR(#REF!))</f>
        <v>#REF!</v>
      </c>
      <c r="M24" s="8" t="e">
        <f t="shared" si="3"/>
        <v>#REF!</v>
      </c>
      <c r="N24" s="8" t="str">
        <f t="shared" si="0"/>
        <v/>
      </c>
      <c r="O24" s="8" t="str">
        <f t="shared" si="1"/>
        <v/>
      </c>
      <c r="P24" s="8" t="str">
        <f t="shared" si="2"/>
        <v/>
      </c>
    </row>
    <row r="25" spans="1:16" s="2" customFormat="1" ht="30" customHeight="1" outlineLevel="1">
      <c r="A25"/>
      <c r="B25" s="10"/>
      <c r="C25" s="53"/>
      <c r="D25" s="38">
        <v>20</v>
      </c>
      <c r="E25" s="30"/>
      <c r="F25" s="30"/>
      <c r="G25" s="31"/>
      <c r="H25" s="43"/>
      <c r="K25" s="8" t="e">
        <f>IF(#REF!="","",MONTH(#REF!))</f>
        <v>#REF!</v>
      </c>
      <c r="L25" s="8" t="e">
        <f>IF(#REF!="","",YEAR(#REF!))</f>
        <v>#REF!</v>
      </c>
      <c r="M25" s="8" t="e">
        <f t="shared" si="3"/>
        <v>#REF!</v>
      </c>
      <c r="N25" s="8" t="str">
        <f t="shared" si="0"/>
        <v/>
      </c>
      <c r="O25" s="8" t="str">
        <f t="shared" si="1"/>
        <v/>
      </c>
      <c r="P25" s="8" t="str">
        <f t="shared" si="2"/>
        <v/>
      </c>
    </row>
    <row r="26" spans="1:16" s="2" customFormat="1" ht="15" customHeight="1" collapsed="1">
      <c r="A26"/>
      <c r="B26" s="29"/>
      <c r="C26" s="33"/>
      <c r="H26" s="3"/>
    </row>
    <row r="27" spans="1:16" s="2" customFormat="1" ht="46.5" customHeight="1">
      <c r="A27"/>
      <c r="B27" s="23"/>
      <c r="C27" s="22"/>
      <c r="D27" s="52" t="s">
        <v>14</v>
      </c>
      <c r="E27" s="52"/>
      <c r="F27" s="52"/>
      <c r="G27" s="52"/>
      <c r="H27" s="52"/>
    </row>
    <row r="28" spans="1:16" s="2" customFormat="1" ht="30" customHeight="1" outlineLevel="1">
      <c r="A28"/>
      <c r="B28" s="10"/>
      <c r="D28" s="35" t="s">
        <v>3</v>
      </c>
      <c r="E28" s="54" t="s">
        <v>4</v>
      </c>
      <c r="F28" s="55"/>
      <c r="G28" s="55"/>
      <c r="H28" s="56"/>
    </row>
    <row r="29" spans="1:16" s="2" customFormat="1" ht="30" customHeight="1" outlineLevel="1">
      <c r="A29"/>
      <c r="B29" s="10"/>
      <c r="C29" s="53" t="s">
        <v>15</v>
      </c>
      <c r="D29" s="39">
        <v>1</v>
      </c>
      <c r="E29" s="57"/>
      <c r="F29" s="58"/>
      <c r="G29" s="58"/>
      <c r="H29" s="59"/>
    </row>
    <row r="30" spans="1:16" s="2" customFormat="1" ht="30" customHeight="1" outlineLevel="1">
      <c r="A30"/>
      <c r="B30" s="10"/>
      <c r="C30" s="53"/>
      <c r="D30" s="39">
        <v>2</v>
      </c>
      <c r="E30" s="57"/>
      <c r="F30" s="58"/>
      <c r="G30" s="58"/>
      <c r="H30" s="59"/>
    </row>
    <row r="31" spans="1:16" s="2" customFormat="1" ht="30" customHeight="1" outlineLevel="1">
      <c r="A31"/>
      <c r="B31" s="10"/>
      <c r="C31" s="53"/>
      <c r="D31" s="39">
        <v>3</v>
      </c>
      <c r="E31" s="57"/>
      <c r="F31" s="58"/>
      <c r="G31" s="58"/>
      <c r="H31" s="59"/>
    </row>
    <row r="32" spans="1:16" s="2" customFormat="1" ht="30" customHeight="1" outlineLevel="1">
      <c r="A32"/>
      <c r="B32" s="10"/>
      <c r="C32" s="53"/>
      <c r="D32" s="39">
        <v>4</v>
      </c>
      <c r="E32" s="48"/>
      <c r="F32" s="49"/>
      <c r="G32" s="49"/>
      <c r="H32" s="50"/>
    </row>
    <row r="33" spans="1:8" s="2" customFormat="1" ht="30" customHeight="1" outlineLevel="1">
      <c r="A33"/>
      <c r="B33" s="10"/>
      <c r="C33" s="53"/>
      <c r="D33" s="39">
        <v>5</v>
      </c>
      <c r="E33" s="48"/>
      <c r="F33" s="49"/>
      <c r="G33" s="49"/>
      <c r="H33" s="50"/>
    </row>
    <row r="34" spans="1:8" s="2" customFormat="1" ht="30" customHeight="1" outlineLevel="1">
      <c r="A34"/>
      <c r="B34" s="10"/>
      <c r="C34" s="53"/>
      <c r="D34" s="39">
        <v>6</v>
      </c>
      <c r="E34" s="48"/>
      <c r="F34" s="49"/>
      <c r="G34" s="49"/>
      <c r="H34" s="50"/>
    </row>
    <row r="35" spans="1:8" s="2" customFormat="1" ht="30" customHeight="1" outlineLevel="1">
      <c r="A35"/>
      <c r="B35" s="10"/>
      <c r="C35" s="53"/>
      <c r="D35" s="39">
        <v>7</v>
      </c>
      <c r="E35" s="48"/>
      <c r="F35" s="49"/>
      <c r="G35" s="49"/>
      <c r="H35" s="50"/>
    </row>
    <row r="36" spans="1:8" s="2" customFormat="1" ht="30" customHeight="1" outlineLevel="1">
      <c r="A36"/>
      <c r="B36" s="10"/>
      <c r="C36" s="53"/>
      <c r="D36" s="39">
        <v>8</v>
      </c>
      <c r="E36" s="48"/>
      <c r="F36" s="49"/>
      <c r="G36" s="49"/>
      <c r="H36" s="50"/>
    </row>
    <row r="37" spans="1:8" s="2" customFormat="1" ht="30" customHeight="1" outlineLevel="1">
      <c r="A37"/>
      <c r="B37" s="10"/>
      <c r="C37" s="53"/>
      <c r="D37" s="39">
        <v>9</v>
      </c>
      <c r="E37" s="48"/>
      <c r="F37" s="49"/>
      <c r="G37" s="49"/>
      <c r="H37" s="50"/>
    </row>
    <row r="38" spans="1:8" s="2" customFormat="1" ht="30" customHeight="1" outlineLevel="1">
      <c r="A38"/>
      <c r="B38" s="10"/>
      <c r="C38" s="53"/>
      <c r="D38" s="39">
        <v>10</v>
      </c>
      <c r="E38" s="48"/>
      <c r="F38" s="49"/>
      <c r="G38" s="49"/>
      <c r="H38" s="50"/>
    </row>
    <row r="39" spans="1:8" s="2" customFormat="1" ht="30" customHeight="1" outlineLevel="1">
      <c r="A39"/>
      <c r="B39" s="10"/>
      <c r="C39" s="53"/>
      <c r="D39" s="39">
        <v>11</v>
      </c>
      <c r="E39" s="48"/>
      <c r="F39" s="49"/>
      <c r="G39" s="49"/>
      <c r="H39" s="50"/>
    </row>
    <row r="40" spans="1:8" s="2" customFormat="1" ht="30" customHeight="1" outlineLevel="1">
      <c r="A40"/>
      <c r="B40" s="10"/>
      <c r="C40" s="53"/>
      <c r="D40" s="39">
        <v>12</v>
      </c>
      <c r="E40" s="48"/>
      <c r="F40" s="49"/>
      <c r="G40" s="49"/>
      <c r="H40" s="50"/>
    </row>
    <row r="41" spans="1:8" s="2" customFormat="1" ht="30" customHeight="1" outlineLevel="1">
      <c r="A41"/>
      <c r="B41" s="10"/>
      <c r="C41" s="53"/>
      <c r="D41" s="39">
        <v>13</v>
      </c>
      <c r="E41" s="48"/>
      <c r="F41" s="49"/>
      <c r="G41" s="49"/>
      <c r="H41" s="50"/>
    </row>
    <row r="42" spans="1:8" s="2" customFormat="1" ht="30" customHeight="1" outlineLevel="1">
      <c r="A42"/>
      <c r="B42" s="10"/>
      <c r="C42" s="53"/>
      <c r="D42" s="39">
        <v>14</v>
      </c>
      <c r="E42" s="48"/>
      <c r="F42" s="49"/>
      <c r="G42" s="49"/>
      <c r="H42" s="50"/>
    </row>
    <row r="43" spans="1:8" s="2" customFormat="1" ht="30" customHeight="1" outlineLevel="1">
      <c r="A43"/>
      <c r="B43" s="10"/>
      <c r="C43" s="53"/>
      <c r="D43" s="39">
        <v>15</v>
      </c>
      <c r="E43" s="48"/>
      <c r="F43" s="49"/>
      <c r="G43" s="49"/>
      <c r="H43" s="50"/>
    </row>
    <row r="44" spans="1:8" s="2" customFormat="1" ht="30" customHeight="1" outlineLevel="1">
      <c r="A44"/>
      <c r="B44" s="10"/>
      <c r="C44" s="53"/>
      <c r="D44" s="39">
        <v>16</v>
      </c>
      <c r="E44" s="48"/>
      <c r="F44" s="49"/>
      <c r="G44" s="49"/>
      <c r="H44" s="50"/>
    </row>
    <row r="45" spans="1:8" s="2" customFormat="1" ht="30" customHeight="1" outlineLevel="1">
      <c r="A45"/>
      <c r="B45" s="10"/>
      <c r="C45" s="53"/>
      <c r="D45" s="39">
        <v>17</v>
      </c>
      <c r="E45" s="48"/>
      <c r="F45" s="49"/>
      <c r="G45" s="49"/>
      <c r="H45" s="50"/>
    </row>
    <row r="46" spans="1:8" s="2" customFormat="1" ht="30" customHeight="1" outlineLevel="1">
      <c r="A46"/>
      <c r="B46" s="10"/>
      <c r="C46" s="53"/>
      <c r="D46" s="39">
        <v>18</v>
      </c>
      <c r="E46" s="48"/>
      <c r="F46" s="49"/>
      <c r="G46" s="49"/>
      <c r="H46" s="50"/>
    </row>
    <row r="47" spans="1:8" s="2" customFormat="1" ht="30" customHeight="1" outlineLevel="1">
      <c r="A47"/>
      <c r="B47" s="10"/>
      <c r="C47" s="53"/>
      <c r="D47" s="39">
        <v>19</v>
      </c>
      <c r="E47" s="48"/>
      <c r="F47" s="49"/>
      <c r="G47" s="49"/>
      <c r="H47" s="50"/>
    </row>
    <row r="48" spans="1:8" s="2" customFormat="1" ht="30" customHeight="1" outlineLevel="1">
      <c r="A48"/>
      <c r="B48" s="10"/>
      <c r="C48" s="53"/>
      <c r="D48" s="39">
        <v>20</v>
      </c>
      <c r="E48" s="48"/>
      <c r="F48" s="49"/>
      <c r="G48" s="49"/>
      <c r="H48" s="50"/>
    </row>
    <row r="49" spans="1:8" s="2" customFormat="1" ht="15" customHeight="1" collapsed="1">
      <c r="A49"/>
      <c r="B49" s="29"/>
      <c r="C49" s="33"/>
      <c r="D49" s="32"/>
      <c r="E49" s="32"/>
      <c r="F49" s="32"/>
      <c r="G49" s="32"/>
      <c r="H49" s="34"/>
    </row>
    <row r="51" spans="1:8" ht="15" customHeight="1"/>
    <row r="52" spans="1:8" ht="8.1" customHeight="1"/>
    <row r="53" spans="1:8" ht="15" customHeight="1"/>
    <row r="54" spans="1:8" ht="15" customHeight="1"/>
    <row r="55" spans="1:8" ht="15" customHeight="1"/>
    <row r="56" spans="1:8" ht="15" customHeight="1"/>
    <row r="57" spans="1:8" ht="15" customHeight="1"/>
    <row r="58" spans="1:8" ht="15" customHeight="1"/>
    <row r="59" spans="1:8" ht="15" customHeight="1"/>
    <row r="60" spans="1:8" ht="15" customHeight="1"/>
    <row r="61" spans="1:8" ht="15" customHeight="1"/>
    <row r="62" spans="1:8" ht="15" customHeight="1"/>
    <row r="63" spans="1:8" ht="15" customHeight="1"/>
    <row r="64" spans="1:8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</sheetData>
  <sheetProtection sort="0" autoFilter="0" pivotTables="0"/>
  <mergeCells count="26">
    <mergeCell ref="B2:H2"/>
    <mergeCell ref="D4:H4"/>
    <mergeCell ref="D27:H27"/>
    <mergeCell ref="C6:C25"/>
    <mergeCell ref="C29:C48"/>
    <mergeCell ref="E28:H28"/>
    <mergeCell ref="E29:H29"/>
    <mergeCell ref="E30:H30"/>
    <mergeCell ref="E32:H32"/>
    <mergeCell ref="E33:H33"/>
    <mergeCell ref="E45:H45"/>
    <mergeCell ref="E46:H46"/>
    <mergeCell ref="E47:H47"/>
    <mergeCell ref="E48:H48"/>
    <mergeCell ref="E31:H31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M59"/>
  <sheetViews>
    <sheetView showGridLines="0" tabSelected="1" zoomScale="90" zoomScaleNormal="90" workbookViewId="0">
      <selection activeCell="Q5" sqref="Q5"/>
    </sheetView>
  </sheetViews>
  <sheetFormatPr defaultColWidth="9.28515625" defaultRowHeight="15"/>
  <cols>
    <col min="1" max="1" width="0.7109375" customWidth="1"/>
    <col min="2" max="2" width="24.42578125" customWidth="1"/>
    <col min="3" max="4" width="9.140625" customWidth="1"/>
    <col min="5" max="5" width="39" bestFit="1" customWidth="1"/>
    <col min="6" max="6" width="9.140625" customWidth="1"/>
    <col min="7" max="7" width="20.7109375" customWidth="1"/>
    <col min="14" max="14" width="0.85546875" customWidth="1"/>
  </cols>
  <sheetData>
    <row r="1" spans="1:13" s="1" customFormat="1" ht="4.5" customHeight="1">
      <c r="A1" s="5"/>
      <c r="C1" s="6"/>
      <c r="D1" s="6"/>
      <c r="E1" s="6"/>
      <c r="F1" s="6"/>
      <c r="G1" s="6"/>
      <c r="H1" s="6"/>
      <c r="I1" s="6"/>
    </row>
    <row r="2" spans="1:13" ht="49.5" customHeight="1">
      <c r="A2" s="6"/>
      <c r="B2" s="47" t="s">
        <v>16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>
      <c r="B3" s="23"/>
      <c r="C3" s="22"/>
      <c r="D3" s="22"/>
      <c r="E3" s="22"/>
      <c r="F3" s="22"/>
      <c r="G3" s="22"/>
      <c r="H3" s="2"/>
      <c r="M3" s="3"/>
    </row>
    <row r="4" spans="1:13" ht="23.25">
      <c r="B4" s="60" t="s">
        <v>18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2"/>
    </row>
    <row r="5" spans="1:13" ht="174.75" customHeight="1">
      <c r="B5" s="63" t="s">
        <v>19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5"/>
    </row>
    <row r="6" spans="1:13" ht="23.25">
      <c r="B6" s="60" t="s">
        <v>20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</row>
    <row r="7" spans="1:13">
      <c r="B7" s="40"/>
      <c r="C7" s="41"/>
      <c r="D7" s="41"/>
      <c r="E7" s="41"/>
      <c r="F7" s="41"/>
      <c r="G7" s="41"/>
      <c r="H7" s="41"/>
      <c r="I7" s="41"/>
      <c r="J7" s="41"/>
      <c r="K7" s="41"/>
      <c r="L7" s="41"/>
      <c r="M7" s="42"/>
    </row>
    <row r="8" spans="1:13">
      <c r="B8" s="40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</row>
    <row r="9" spans="1:13">
      <c r="B9" s="40"/>
      <c r="C9" s="41"/>
      <c r="D9" s="41"/>
      <c r="E9" s="41"/>
      <c r="F9" s="41"/>
      <c r="G9" s="41"/>
      <c r="H9" s="41"/>
      <c r="I9" s="41"/>
      <c r="J9" s="41"/>
      <c r="K9" s="41"/>
      <c r="L9" s="41"/>
      <c r="M9" s="42"/>
    </row>
    <row r="10" spans="1:13">
      <c r="B10" s="40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</row>
    <row r="11" spans="1:13">
      <c r="B11" s="40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2"/>
    </row>
    <row r="12" spans="1:13">
      <c r="A12">
        <v>4</v>
      </c>
      <c r="B12" s="40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2"/>
    </row>
    <row r="13" spans="1:13">
      <c r="B13" s="40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2"/>
    </row>
    <row r="14" spans="1:13">
      <c r="B14" s="40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2"/>
    </row>
    <row r="15" spans="1:13"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2"/>
    </row>
    <row r="16" spans="1:13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2"/>
    </row>
    <row r="17" spans="2:13">
      <c r="B17" s="40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2:13"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2"/>
    </row>
    <row r="19" spans="2:13">
      <c r="B19" s="40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2"/>
    </row>
    <row r="20" spans="2:13">
      <c r="B20" s="40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2"/>
    </row>
    <row r="21" spans="2:13">
      <c r="B21" s="40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2"/>
    </row>
    <row r="22" spans="2:13">
      <c r="B22" s="40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2"/>
    </row>
    <row r="23" spans="2:13">
      <c r="B23" s="40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2"/>
    </row>
    <row r="24" spans="2:13">
      <c r="B24" s="40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2"/>
    </row>
    <row r="25" spans="2:13">
      <c r="B25" s="40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2"/>
    </row>
    <row r="26" spans="2:13"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2"/>
    </row>
    <row r="27" spans="2:13">
      <c r="B27" s="40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2"/>
    </row>
    <row r="28" spans="2:13">
      <c r="B28" s="40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2"/>
    </row>
    <row r="29" spans="2:13">
      <c r="B29" s="40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2"/>
    </row>
    <row r="30" spans="2:13">
      <c r="B30" s="40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2"/>
    </row>
    <row r="31" spans="2:13"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2"/>
    </row>
    <row r="32" spans="2:13">
      <c r="B32" s="40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2"/>
    </row>
    <row r="33" spans="2:13">
      <c r="B33" s="40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2"/>
    </row>
    <row r="34" spans="2:13">
      <c r="B34" s="40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2"/>
    </row>
    <row r="35" spans="2:13">
      <c r="B35" s="40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2"/>
    </row>
    <row r="36" spans="2:13">
      <c r="B36" s="40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2"/>
    </row>
    <row r="37" spans="2:13">
      <c r="B37" s="40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2"/>
    </row>
    <row r="38" spans="2:13">
      <c r="B38" s="40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2"/>
    </row>
    <row r="39" spans="2:13">
      <c r="B39" s="40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2"/>
    </row>
    <row r="40" spans="2:13">
      <c r="B40" s="40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2"/>
    </row>
    <row r="41" spans="2:13">
      <c r="B41" s="40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2"/>
    </row>
    <row r="42" spans="2:13">
      <c r="B42" s="40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2"/>
    </row>
    <row r="43" spans="2:13">
      <c r="B43" s="40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2"/>
    </row>
    <row r="44" spans="2:13">
      <c r="B44" s="40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2"/>
    </row>
    <row r="45" spans="2:13">
      <c r="B45" s="10"/>
      <c r="C45" s="2"/>
      <c r="D45" s="2"/>
      <c r="E45" s="2"/>
      <c r="F45" s="2"/>
      <c r="G45" s="2"/>
      <c r="H45" s="2"/>
      <c r="M45" s="3"/>
    </row>
    <row r="46" spans="2:13">
      <c r="B46" s="10"/>
      <c r="C46" s="2"/>
      <c r="D46" s="2"/>
      <c r="E46" s="2"/>
      <c r="F46" s="2"/>
      <c r="G46" s="2"/>
      <c r="H46" s="2"/>
      <c r="M46" s="3"/>
    </row>
    <row r="47" spans="2:13">
      <c r="B47" s="10"/>
      <c r="C47" s="2"/>
      <c r="D47" s="2"/>
      <c r="E47" s="2"/>
      <c r="F47" s="2"/>
      <c r="G47" s="2"/>
      <c r="H47" s="2"/>
      <c r="M47" s="3"/>
    </row>
    <row r="48" spans="2:13">
      <c r="B48" s="10"/>
      <c r="C48" s="2"/>
      <c r="D48" s="2"/>
      <c r="E48" s="2"/>
      <c r="F48" s="2"/>
      <c r="G48" s="2"/>
      <c r="H48" s="2"/>
      <c r="M48" s="3"/>
    </row>
    <row r="49" spans="2:13">
      <c r="B49" s="10"/>
      <c r="C49" s="2"/>
      <c r="D49" s="2"/>
      <c r="E49" s="2"/>
      <c r="F49" s="2"/>
      <c r="G49" s="2"/>
      <c r="H49" s="2"/>
      <c r="M49" s="3"/>
    </row>
    <row r="50" spans="2:13">
      <c r="B50" s="10"/>
      <c r="C50" s="2"/>
      <c r="D50" s="2"/>
      <c r="E50" s="2"/>
      <c r="F50" s="2"/>
      <c r="G50" s="2"/>
      <c r="H50" s="2"/>
      <c r="M50" s="3"/>
    </row>
    <row r="51" spans="2:13">
      <c r="B51" s="10"/>
      <c r="C51" s="2"/>
      <c r="D51" s="2"/>
      <c r="E51" s="2"/>
      <c r="F51" s="2"/>
      <c r="G51" s="2"/>
      <c r="H51" s="2"/>
      <c r="M51" s="3"/>
    </row>
    <row r="52" spans="2:13">
      <c r="B52" s="10"/>
      <c r="C52" s="2"/>
      <c r="D52" s="2"/>
      <c r="E52" s="2"/>
      <c r="F52" s="2"/>
      <c r="G52" s="2"/>
      <c r="H52" s="2"/>
      <c r="M52" s="3"/>
    </row>
    <row r="53" spans="2:13">
      <c r="B53" s="10"/>
      <c r="C53" s="2"/>
      <c r="D53" s="2"/>
      <c r="E53" s="2"/>
      <c r="F53" s="2"/>
      <c r="G53" s="2"/>
      <c r="H53" s="2"/>
      <c r="M53" s="3"/>
    </row>
    <row r="54" spans="2:13">
      <c r="B54" s="10"/>
      <c r="C54" s="2"/>
      <c r="D54" s="2"/>
      <c r="E54" s="2"/>
      <c r="F54" s="2"/>
      <c r="G54" s="2"/>
      <c r="H54" s="2"/>
      <c r="M54" s="3"/>
    </row>
    <row r="55" spans="2:13">
      <c r="B55" s="10"/>
      <c r="C55" s="2"/>
      <c r="D55" s="2"/>
      <c r="E55" s="2"/>
      <c r="F55" s="2"/>
      <c r="G55" s="2"/>
      <c r="H55" s="2"/>
      <c r="M55" s="3"/>
    </row>
    <row r="56" spans="2:13">
      <c r="B56" s="10"/>
      <c r="C56" s="2"/>
      <c r="D56" s="2"/>
      <c r="E56" s="2"/>
      <c r="F56" s="2"/>
      <c r="G56" s="2"/>
      <c r="H56" s="2"/>
      <c r="M56" s="3"/>
    </row>
    <row r="57" spans="2:13">
      <c r="B57" s="10"/>
      <c r="C57" s="2"/>
      <c r="D57" s="2"/>
      <c r="E57" s="2"/>
      <c r="F57" s="2"/>
      <c r="G57" s="2"/>
      <c r="H57" s="2"/>
      <c r="M57" s="3"/>
    </row>
    <row r="58" spans="2:13">
      <c r="B58" s="10"/>
      <c r="C58" s="2"/>
      <c r="D58" s="2"/>
      <c r="E58" s="2"/>
      <c r="F58" s="2"/>
      <c r="G58" s="2"/>
      <c r="H58" s="2"/>
      <c r="I58" s="2"/>
      <c r="J58" s="2"/>
      <c r="K58" s="2"/>
      <c r="L58" s="2"/>
      <c r="M58" s="3"/>
    </row>
    <row r="59" spans="2:13">
      <c r="B59" s="29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4"/>
    </row>
  </sheetData>
  <mergeCells count="4">
    <mergeCell ref="B2:M2"/>
    <mergeCell ref="B4:M4"/>
    <mergeCell ref="B5:M5"/>
    <mergeCell ref="B6:M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2" ma:contentTypeDescription="Create a new document." ma:contentTypeScope="" ma:versionID="dabac917373acaa0ad9364e865d3da74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60cb03af02e1dac60109aae364f4f603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D590B6-89C2-4513-B8B3-198AAE5228FA}">
  <ds:schemaRefs>
    <ds:schemaRef ds:uri="http://purl.org/dc/dcmitype/"/>
    <ds:schemaRef ds:uri="http://purl.org/dc/elements/1.1/"/>
    <ds:schemaRef ds:uri="eb33c5a6-54d1-477f-83bb-93291d03e373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d8cfd7d-5186-4715-9870-1f6c504c93d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3BDEEB0-D2E1-4B04-AD2F-322F0EA42C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49FEF6-770E-4A24-868E-DDE6B3D178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P-Plano do projeto</vt:lpstr>
      <vt:lpstr>P-Escopo</vt:lpstr>
      <vt:lpstr>P-EAP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Consultor</dc:creator>
  <cp:keywords/>
  <dc:description/>
  <cp:lastModifiedBy>allangomides@hotmail.com</cp:lastModifiedBy>
  <cp:revision/>
  <cp:lastPrinted>2021-03-30T12:19:24Z</cp:lastPrinted>
  <dcterms:created xsi:type="dcterms:W3CDTF">2016-11-14T15:32:13Z</dcterms:created>
  <dcterms:modified xsi:type="dcterms:W3CDTF">2021-05-07T12:47:29Z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