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/>
  <mc:AlternateContent xmlns:mc="http://schemas.openxmlformats.org/markup-compatibility/2006">
    <mc:Choice Requires="x15">
      <x15ac:absPath xmlns:x15ac="http://schemas.microsoft.com/office/spreadsheetml/2010/11/ac" url="https://falconi365.sharepoint.com/sites/gestaodoconhecimento/projetos64/14367 ABRASEL/1. REDE/2. Controle/2. Metodologia/2. Artefatos padrão e ferramentas/"/>
    </mc:Choice>
  </mc:AlternateContent>
  <xr:revisionPtr revIDLastSave="7" documentId="8_{D285811B-1193-40A7-BAB9-EB7C389A351D}" xr6:coauthVersionLast="46" xr6:coauthVersionMax="46" xr10:uidLastSave="{56ED89AE-298D-48E4-AEFA-B5147B5A5CA7}"/>
  <bookViews>
    <workbookView xWindow="-120" yWindow="-120" windowWidth="20730" windowHeight="11160" xr2:uid="{00000000-000D-0000-FFFF-FFFF00000000}"/>
  </bookViews>
  <sheets>
    <sheet name="Categorização de Projetos" sheetId="3" r:id="rId1"/>
    <sheet name="Ritos de Gestão" sheetId="6" r:id="rId2"/>
    <sheet name="Aux. Complexidade" sheetId="5" state="hidden" r:id="rId3"/>
  </sheets>
  <externalReferences>
    <externalReference r:id="rId4"/>
  </externalReferences>
  <definedNames>
    <definedName name="MacroEtapas">OFFSET([1]Plano_Projeto!$C$53,0,0,MATCH("ENTREGAS E CRITÉRIOS DE ACEITAÇÃO",[1]Plano_Projeto!$B$53:$B$434,0)-2,1)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3" l="1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B49" i="5" l="1"/>
  <c r="A19" i="3"/>
  <c r="B48" i="5" s="1"/>
  <c r="B19" i="5" l="1"/>
  <c r="A15" i="3" l="1"/>
  <c r="B44" i="5" s="1"/>
  <c r="A16" i="3"/>
  <c r="B45" i="5" s="1"/>
  <c r="A17" i="3"/>
  <c r="B46" i="5" s="1"/>
  <c r="A18" i="3"/>
  <c r="C47" i="5" s="1"/>
  <c r="A14" i="3"/>
  <c r="B43" i="5" s="1"/>
  <c r="B47" i="5" l="1"/>
  <c r="B11" i="5" s="1"/>
  <c r="B13" i="5" l="1"/>
</calcChain>
</file>

<file path=xl/sharedStrings.xml><?xml version="1.0" encoding="utf-8"?>
<sst xmlns="http://schemas.openxmlformats.org/spreadsheetml/2006/main" count="134" uniqueCount="76">
  <si>
    <t>Termo de Abertura do Projeto</t>
  </si>
  <si>
    <t>EAP</t>
  </si>
  <si>
    <t>Plano de Riscos</t>
  </si>
  <si>
    <t>Solicitação de Mudanças</t>
  </si>
  <si>
    <t>Sim</t>
  </si>
  <si>
    <t>Não</t>
  </si>
  <si>
    <t>Critérios de Categorização</t>
  </si>
  <si>
    <t>Nome do projeto:</t>
  </si>
  <si>
    <t>Dados do projeto</t>
  </si>
  <si>
    <t>Objetivo do Formulário</t>
  </si>
  <si>
    <t>Resultado</t>
  </si>
  <si>
    <t>Avaliação da Complexidade</t>
  </si>
  <si>
    <t>Resposta</t>
  </si>
  <si>
    <t>Pontuação</t>
  </si>
  <si>
    <t/>
  </si>
  <si>
    <t>1)</t>
  </si>
  <si>
    <t>2)</t>
  </si>
  <si>
    <t>3)</t>
  </si>
  <si>
    <t>4)</t>
  </si>
  <si>
    <t>5)</t>
  </si>
  <si>
    <t>Categorias</t>
  </si>
  <si>
    <t>Complemento</t>
  </si>
  <si>
    <t>Valor (Ponta)</t>
  </si>
  <si>
    <t>Tamanho (largura)</t>
  </si>
  <si>
    <t>Investimento total:</t>
  </si>
  <si>
    <t>Duração do projeto:</t>
  </si>
  <si>
    <t>Quantidade de recusros internos:</t>
  </si>
  <si>
    <t>Alta</t>
  </si>
  <si>
    <t>Média</t>
  </si>
  <si>
    <t>Baixa</t>
  </si>
  <si>
    <t>Complexidade do Projeto</t>
  </si>
  <si>
    <t>Plano de Comunicação</t>
  </si>
  <si>
    <t>Cronograma MsProject</t>
  </si>
  <si>
    <t>x</t>
  </si>
  <si>
    <t>Mapa de indicadores</t>
  </si>
  <si>
    <t>Pequeno</t>
  </si>
  <si>
    <t>Médio</t>
  </si>
  <si>
    <t>Grande</t>
  </si>
  <si>
    <t>Menor complexidade</t>
  </si>
  <si>
    <t>Maior complexidade</t>
  </si>
  <si>
    <t>6)</t>
  </si>
  <si>
    <t>É necessário criar um novo contrato com o fornecedor?</t>
  </si>
  <si>
    <t>Média complexidade</t>
  </si>
  <si>
    <t>7)</t>
  </si>
  <si>
    <t>Líder do projeto:</t>
  </si>
  <si>
    <t>Cockpit (consolidação documentação e visão portfólio)</t>
  </si>
  <si>
    <t>ok</t>
  </si>
  <si>
    <t>Governança</t>
  </si>
  <si>
    <t>Artefatos/Ferramentas</t>
  </si>
  <si>
    <t>O projeto envolve a participação ativa de parceiros de negócio/outras empresas?</t>
  </si>
  <si>
    <t>De 2 a 3 recursos internos</t>
  </si>
  <si>
    <t>1 recurso interno</t>
  </si>
  <si>
    <t>Acima de 3 recursos internos</t>
  </si>
  <si>
    <t>Qual é a prioridade do projeto para a ABRASEL?</t>
  </si>
  <si>
    <t>Ferramenta de Consolidação dos projetos</t>
  </si>
  <si>
    <t>Status Report</t>
  </si>
  <si>
    <t>Relatório 3 gerações (contramedidas)</t>
  </si>
  <si>
    <t>Macro processo de gestão</t>
  </si>
  <si>
    <t>Fluxo da operação</t>
  </si>
  <si>
    <t>Ferramenta de categorização</t>
  </si>
  <si>
    <t>Até R$ 100.000</t>
  </si>
  <si>
    <t>De R$ 100.000 a R$200.000</t>
  </si>
  <si>
    <t>Acima de R$ 200.000</t>
  </si>
  <si>
    <t>Até 1 mês</t>
  </si>
  <si>
    <t>De 1 a 2 meses</t>
  </si>
  <si>
    <t>Acima de 2 meses</t>
  </si>
  <si>
    <t>Média (B)</t>
  </si>
  <si>
    <t>Alta (A)</t>
  </si>
  <si>
    <t>Baixa (C)</t>
  </si>
  <si>
    <t>Qual o grau de envolvimento necessário do CEO com o projeto?</t>
  </si>
  <si>
    <t>Baixo</t>
  </si>
  <si>
    <t>Alto</t>
  </si>
  <si>
    <t>Kanban</t>
  </si>
  <si>
    <t>Termo de encerramento</t>
  </si>
  <si>
    <t>Escopo e não escopo</t>
  </si>
  <si>
    <r>
      <t xml:space="preserve">O objetivo deste formulário é  avaliar o projeto em função de sua complexidade para definir a os </t>
    </r>
    <r>
      <rPr>
        <b/>
        <sz val="11"/>
        <color theme="1"/>
        <rFont val="Calibri"/>
        <family val="2"/>
        <scheme val="minor"/>
      </rPr>
      <t>ritos de gestão</t>
    </r>
    <r>
      <rPr>
        <sz val="11"/>
        <color theme="1"/>
        <rFont val="Calibri"/>
        <family val="2"/>
        <scheme val="minor"/>
      </rPr>
      <t xml:space="preserve"> a serem aplicados no planejamento e controle do projeto.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</si>
</sst>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663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1" xfId="0" applyBorder="1"/>
    <xf numFmtId="0" fontId="0" fillId="4" borderId="1" xfId="0" applyFill="1" applyBorder="1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0" xfId="0" applyBorder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6" xfId="0" applyBorder="1"/>
    <xf numFmtId="0" fontId="0" fillId="0" borderId="11" xfId="0" applyBorder="1"/>
    <xf numFmtId="0" fontId="0" fillId="0" borderId="1" xfId="0" quotePrefix="1" applyBorder="1"/>
    <xf numFmtId="0" fontId="0" fillId="5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2" fontId="0" fillId="0" borderId="1" xfId="1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" xfId="0" applyFill="1" applyBorder="1"/>
    <xf numFmtId="0" fontId="3" fillId="7" borderId="4" xfId="0" applyFont="1" applyFill="1" applyBorder="1" applyAlignment="1">
      <alignment vertical="center"/>
    </xf>
    <xf numFmtId="0" fontId="3" fillId="7" borderId="5" xfId="0" applyFont="1" applyFill="1" applyBorder="1" applyAlignment="1">
      <alignment vertical="center"/>
    </xf>
    <xf numFmtId="0" fontId="0" fillId="3" borderId="17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3" fillId="7" borderId="21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0" fillId="0" borderId="16" xfId="0" quotePrefix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3"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colors>
    <mruColors>
      <color rgb="FF006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222222222222224E-2"/>
          <c:y val="0"/>
          <c:w val="0.79166666666666663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A6-4A62-8821-B1537E6F9D6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A6-4A62-8821-B1537E6F9D66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3A6-4A62-8821-B1537E6F9D6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3A6-4A62-8821-B1537E6F9D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'Aux. Complexidade'!$A$16:$A$19</c:f>
              <c:strCache>
                <c:ptCount val="3"/>
                <c:pt idx="0">
                  <c:v>Pequeno</c:v>
                </c:pt>
                <c:pt idx="1">
                  <c:v>Médio</c:v>
                </c:pt>
                <c:pt idx="2">
                  <c:v>Grande</c:v>
                </c:pt>
              </c:strCache>
            </c:strRef>
          </c:cat>
          <c:val>
            <c:numRef>
              <c:f>'Aux. Complexidade'!$B$16:$B$19</c:f>
              <c:numCache>
                <c:formatCode>0.00</c:formatCode>
                <c:ptCount val="4"/>
                <c:pt idx="0">
                  <c:v>7</c:v>
                </c:pt>
                <c:pt idx="1">
                  <c:v>4.5</c:v>
                </c:pt>
                <c:pt idx="2">
                  <c:v>2.5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6-4A62-8821-B1537E6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40"/>
      </c:doughnutChart>
      <c:pieChart>
        <c:varyColors val="1"/>
        <c:ser>
          <c:idx val="1"/>
          <c:order val="1"/>
          <c:tx>
            <c:v>Ponteiro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3A6-4A62-8821-B1537E6F9D6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3A6-4A62-8821-B1537E6F9D6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3A6-4A62-8821-B1537E6F9D66}"/>
              </c:ext>
            </c:extLst>
          </c:dPt>
          <c:val>
            <c:numRef>
              <c:f>'Aux. Complexidade'!$B$11:$B$13</c:f>
              <c:numCache>
                <c:formatCode>0.00</c:formatCode>
                <c:ptCount val="3"/>
                <c:pt idx="0">
                  <c:v>12</c:v>
                </c:pt>
                <c:pt idx="1">
                  <c:v>0.1</c:v>
                </c:pt>
                <c:pt idx="2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3A6-4A62-8821-B1537E6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7936</xdr:rowOff>
    </xdr:from>
    <xdr:to>
      <xdr:col>17</xdr:col>
      <xdr:colOff>1</xdr:colOff>
      <xdr:row>3</xdr:row>
      <xdr:rowOff>145256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585" y="7936"/>
          <a:ext cx="9387416" cy="708820"/>
        </a:xfrm>
        <a:prstGeom prst="rect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/>
              </a:solidFill>
            </a:rPr>
            <a:t>Formulário</a:t>
          </a:r>
          <a:r>
            <a:rPr lang="pt-BR" sz="1800" b="1" baseline="0">
              <a:solidFill>
                <a:schemeClr val="tx2"/>
              </a:solidFill>
            </a:rPr>
            <a:t> de </a:t>
          </a:r>
          <a:r>
            <a:rPr lang="pt-BR" sz="1800" b="1">
              <a:solidFill>
                <a:schemeClr val="tx2"/>
              </a:solidFill>
            </a:rPr>
            <a:t>Categorização de Projetos</a:t>
          </a:r>
        </a:p>
      </xdr:txBody>
    </xdr:sp>
    <xdr:clientData/>
  </xdr:twoCellAnchor>
  <xdr:twoCellAnchor>
    <xdr:from>
      <xdr:col>0</xdr:col>
      <xdr:colOff>28575</xdr:colOff>
      <xdr:row>8</xdr:row>
      <xdr:rowOff>209550</xdr:rowOff>
    </xdr:from>
    <xdr:to>
      <xdr:col>0</xdr:col>
      <xdr:colOff>85725</xdr:colOff>
      <xdr:row>12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575" y="2124075"/>
          <a:ext cx="57150" cy="3048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39157</xdr:colOff>
      <xdr:row>12</xdr:row>
      <xdr:rowOff>187324</xdr:rowOff>
    </xdr:from>
    <xdr:to>
      <xdr:col>0</xdr:col>
      <xdr:colOff>124882</xdr:colOff>
      <xdr:row>19</xdr:row>
      <xdr:rowOff>390524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9157" y="6018741"/>
          <a:ext cx="85725" cy="21399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12</xdr:col>
      <xdr:colOff>72496</xdr:colOff>
      <xdr:row>34</xdr:row>
      <xdr:rowOff>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550332</xdr:colOff>
      <xdr:row>0</xdr:row>
      <xdr:rowOff>105834</xdr:rowOff>
    </xdr:from>
    <xdr:to>
      <xdr:col>16</xdr:col>
      <xdr:colOff>409216</xdr:colOff>
      <xdr:row>3</xdr:row>
      <xdr:rowOff>26103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C2218BEA-0EF8-4A26-8341-09D41800D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9999" y="105834"/>
          <a:ext cx="1700384" cy="4917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4</xdr:row>
      <xdr:rowOff>137320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300" y="76200"/>
          <a:ext cx="6067425" cy="708820"/>
        </a:xfrm>
        <a:prstGeom prst="rect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/>
              </a:solidFill>
            </a:rPr>
            <a:t>Formulário</a:t>
          </a:r>
          <a:r>
            <a:rPr lang="pt-BR" sz="1800" b="1" baseline="0">
              <a:solidFill>
                <a:schemeClr val="tx2"/>
              </a:solidFill>
            </a:rPr>
            <a:t> de </a:t>
          </a:r>
          <a:r>
            <a:rPr lang="pt-BR" sz="1800" b="1">
              <a:solidFill>
                <a:schemeClr val="tx2"/>
              </a:solidFill>
            </a:rPr>
            <a:t>Categorização de Projetos</a:t>
          </a:r>
        </a:p>
      </xdr:txBody>
    </xdr:sp>
    <xdr:clientData/>
  </xdr:twoCellAnchor>
  <xdr:twoCellAnchor editAs="oneCell">
    <xdr:from>
      <xdr:col>5</xdr:col>
      <xdr:colOff>242017</xdr:colOff>
      <xdr:row>2</xdr:row>
      <xdr:rowOff>6539</xdr:rowOff>
    </xdr:from>
    <xdr:to>
      <xdr:col>5</xdr:col>
      <xdr:colOff>1172618</xdr:colOff>
      <xdr:row>3</xdr:row>
      <xdr:rowOff>85179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754E727-5BF9-4856-BB5A-95ACB8AA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967" y="273239"/>
          <a:ext cx="930601" cy="2691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45</xdr:row>
      <xdr:rowOff>47625</xdr:rowOff>
    </xdr:from>
    <xdr:to>
      <xdr:col>3</xdr:col>
      <xdr:colOff>9526</xdr:colOff>
      <xdr:row>47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8B8A20C-1A9F-4A69-9078-042BB026C098}"/>
            </a:ext>
          </a:extLst>
        </xdr:cNvPr>
        <xdr:cNvSpPr/>
      </xdr:nvSpPr>
      <xdr:spPr>
        <a:xfrm>
          <a:off x="10277476" y="8620125"/>
          <a:ext cx="1238250" cy="4095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6"/>
  <sheetViews>
    <sheetView showGridLines="0" tabSelected="1" zoomScale="90" zoomScaleNormal="90" workbookViewId="0">
      <selection activeCell="W18" sqref="W18"/>
    </sheetView>
  </sheetViews>
  <sheetFormatPr defaultRowHeight="15" x14ac:dyDescent="0.25"/>
  <cols>
    <col min="1" max="1" width="2" customWidth="1"/>
    <col min="2" max="2" width="9.140625" customWidth="1"/>
    <col min="9" max="9" width="9.140625" customWidth="1"/>
    <col min="10" max="10" width="2.7109375" customWidth="1"/>
  </cols>
  <sheetData>
    <row r="1" spans="1:17" x14ac:dyDescent="0.25">
      <c r="B1" s="13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5"/>
    </row>
    <row r="2" spans="1:17" x14ac:dyDescent="0.25">
      <c r="B2" s="1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17"/>
    </row>
    <row r="3" spans="1:17" x14ac:dyDescent="0.25">
      <c r="B3" s="1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7"/>
    </row>
    <row r="4" spans="1:17" ht="15.75" customHeight="1" thickBot="1" x14ac:dyDescent="0.3">
      <c r="B4" s="1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17"/>
    </row>
    <row r="5" spans="1:17" ht="24" thickBot="1" x14ac:dyDescent="0.4">
      <c r="B5" s="62" t="s">
        <v>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9"/>
    </row>
    <row r="6" spans="1:17" ht="5.0999999999999996" customHeight="1" x14ac:dyDescent="0.35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17" ht="53.25" customHeight="1" x14ac:dyDescent="0.25">
      <c r="B7" s="63" t="s">
        <v>75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</row>
    <row r="8" spans="1:17" ht="5.0999999999999996" customHeight="1" thickBot="1" x14ac:dyDescent="0.3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2"/>
    </row>
    <row r="9" spans="1:17" ht="24" thickBot="1" x14ac:dyDescent="0.3">
      <c r="B9" s="59" t="s">
        <v>8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1"/>
    </row>
    <row r="10" spans="1:17" ht="5.0999999999999996" customHeight="1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5"/>
    </row>
    <row r="11" spans="1:17" x14ac:dyDescent="0.25">
      <c r="B11" s="69" t="s">
        <v>7</v>
      </c>
      <c r="C11" s="66"/>
      <c r="D11" s="67"/>
      <c r="E11" s="67"/>
      <c r="F11" s="67"/>
      <c r="G11" s="67"/>
      <c r="H11" s="67"/>
      <c r="I11" s="67"/>
      <c r="J11" s="6"/>
      <c r="K11" s="66" t="s">
        <v>44</v>
      </c>
      <c r="L11" s="66"/>
      <c r="M11" s="67"/>
      <c r="N11" s="67"/>
      <c r="O11" s="67"/>
      <c r="P11" s="67"/>
      <c r="Q11" s="68"/>
    </row>
    <row r="12" spans="1:17" ht="5.0999999999999996" customHeight="1" thickBot="1" x14ac:dyDescent="0.3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2"/>
    </row>
    <row r="13" spans="1:17" ht="24" thickBot="1" x14ac:dyDescent="0.3">
      <c r="B13" s="57" t="s">
        <v>11</v>
      </c>
      <c r="C13" s="58"/>
      <c r="D13" s="58"/>
      <c r="E13" s="58"/>
      <c r="F13" s="58"/>
      <c r="G13" s="58"/>
      <c r="H13" s="58"/>
      <c r="I13" s="58"/>
      <c r="J13" s="58"/>
      <c r="K13" s="30"/>
      <c r="L13" s="30"/>
      <c r="M13" s="30"/>
      <c r="N13" s="30"/>
      <c r="O13" s="30"/>
      <c r="P13" s="30"/>
      <c r="Q13" s="31"/>
    </row>
    <row r="14" spans="1:17" ht="20.100000000000001" customHeight="1" x14ac:dyDescent="0.25">
      <c r="A14" t="str">
        <f t="shared" ref="A14:A20" si="0">B14&amp;K14</f>
        <v>Duração do projeto:Acima de 2 meses</v>
      </c>
      <c r="B14" s="55" t="s">
        <v>25</v>
      </c>
      <c r="C14" s="55"/>
      <c r="D14" s="55"/>
      <c r="E14" s="55"/>
      <c r="F14" s="55"/>
      <c r="G14" s="55"/>
      <c r="H14" s="55"/>
      <c r="I14" s="55"/>
      <c r="J14" s="55"/>
      <c r="K14" s="50" t="s">
        <v>65</v>
      </c>
      <c r="L14" s="50"/>
      <c r="M14" s="50"/>
      <c r="N14" s="50"/>
      <c r="O14" s="50"/>
      <c r="P14" s="50"/>
      <c r="Q14" s="51"/>
    </row>
    <row r="15" spans="1:17" ht="20.100000000000001" customHeight="1" x14ac:dyDescent="0.25">
      <c r="A15" t="str">
        <f t="shared" si="0"/>
        <v>Investimento total:Acima de R$ 200.000</v>
      </c>
      <c r="B15" s="56" t="s">
        <v>24</v>
      </c>
      <c r="C15" s="56"/>
      <c r="D15" s="56"/>
      <c r="E15" s="56"/>
      <c r="F15" s="56"/>
      <c r="G15" s="56"/>
      <c r="H15" s="56"/>
      <c r="I15" s="56"/>
      <c r="J15" s="56"/>
      <c r="K15" s="44" t="s">
        <v>62</v>
      </c>
      <c r="L15" s="44"/>
      <c r="M15" s="44"/>
      <c r="N15" s="44"/>
      <c r="O15" s="44"/>
      <c r="P15" s="44"/>
      <c r="Q15" s="45"/>
    </row>
    <row r="16" spans="1:17" ht="20.100000000000001" customHeight="1" x14ac:dyDescent="0.25">
      <c r="A16" t="str">
        <f t="shared" si="0"/>
        <v>É necessário criar um novo contrato com o fornecedor?Sim</v>
      </c>
      <c r="B16" s="56" t="s">
        <v>41</v>
      </c>
      <c r="C16" s="56"/>
      <c r="D16" s="56"/>
      <c r="E16" s="56"/>
      <c r="F16" s="56"/>
      <c r="G16" s="56"/>
      <c r="H16" s="56"/>
      <c r="I16" s="56"/>
      <c r="J16" s="56"/>
      <c r="K16" s="44" t="s">
        <v>4</v>
      </c>
      <c r="L16" s="44"/>
      <c r="M16" s="44"/>
      <c r="N16" s="44"/>
      <c r="O16" s="44"/>
      <c r="P16" s="44"/>
      <c r="Q16" s="45"/>
    </row>
    <row r="17" spans="1:17" ht="20.100000000000001" customHeight="1" x14ac:dyDescent="0.25">
      <c r="A17" t="str">
        <f t="shared" si="0"/>
        <v>Quantidade de recusros internos:Acima de 3 recursos internos</v>
      </c>
      <c r="B17" s="32" t="s">
        <v>26</v>
      </c>
      <c r="C17" s="33"/>
      <c r="D17" s="33"/>
      <c r="E17" s="33"/>
      <c r="F17" s="33"/>
      <c r="G17" s="33"/>
      <c r="H17" s="33"/>
      <c r="I17" s="33"/>
      <c r="J17" s="34"/>
      <c r="K17" s="44" t="s">
        <v>52</v>
      </c>
      <c r="L17" s="44"/>
      <c r="M17" s="44"/>
      <c r="N17" s="44"/>
      <c r="O17" s="44"/>
      <c r="P17" s="44"/>
      <c r="Q17" s="45"/>
    </row>
    <row r="18" spans="1:17" ht="20.100000000000001" customHeight="1" x14ac:dyDescent="0.25">
      <c r="A18" t="str">
        <f t="shared" si="0"/>
        <v>Qual é a prioridade do projeto para a ABRASEL?Média (B)</v>
      </c>
      <c r="B18" s="32" t="s">
        <v>53</v>
      </c>
      <c r="C18" s="33"/>
      <c r="D18" s="33"/>
      <c r="E18" s="33"/>
      <c r="F18" s="33"/>
      <c r="G18" s="33"/>
      <c r="H18" s="33"/>
      <c r="I18" s="33"/>
      <c r="J18" s="34"/>
      <c r="K18" s="44" t="s">
        <v>66</v>
      </c>
      <c r="L18" s="44"/>
      <c r="M18" s="44"/>
      <c r="N18" s="44"/>
      <c r="O18" s="44"/>
      <c r="P18" s="44"/>
      <c r="Q18" s="45"/>
    </row>
    <row r="19" spans="1:17" ht="32.25" customHeight="1" x14ac:dyDescent="0.25">
      <c r="A19" t="str">
        <f t="shared" si="0"/>
        <v>O projeto envolve a participação ativa de parceiros de negócio/outras empresas?Sim</v>
      </c>
      <c r="B19" s="32" t="s">
        <v>49</v>
      </c>
      <c r="C19" s="33"/>
      <c r="D19" s="33"/>
      <c r="E19" s="33"/>
      <c r="F19" s="33"/>
      <c r="G19" s="33"/>
      <c r="H19" s="33"/>
      <c r="I19" s="33"/>
      <c r="J19" s="34"/>
      <c r="K19" s="44" t="s">
        <v>4</v>
      </c>
      <c r="L19" s="44"/>
      <c r="M19" s="44"/>
      <c r="N19" s="44"/>
      <c r="O19" s="44"/>
      <c r="P19" s="44"/>
      <c r="Q19" s="45"/>
    </row>
    <row r="20" spans="1:17" ht="32.25" customHeight="1" thickBot="1" x14ac:dyDescent="0.3">
      <c r="A20" t="str">
        <f t="shared" si="0"/>
        <v>Qual o grau de envolvimento necessário do CEO com o projeto?Médio</v>
      </c>
      <c r="B20" s="32" t="s">
        <v>69</v>
      </c>
      <c r="C20" s="33"/>
      <c r="D20" s="33"/>
      <c r="E20" s="33"/>
      <c r="F20" s="33"/>
      <c r="G20" s="33"/>
      <c r="H20" s="33"/>
      <c r="I20" s="33"/>
      <c r="J20" s="34"/>
      <c r="K20" s="52" t="s">
        <v>36</v>
      </c>
      <c r="L20" s="53"/>
      <c r="M20" s="53"/>
      <c r="N20" s="53"/>
      <c r="O20" s="53"/>
      <c r="P20" s="53"/>
      <c r="Q20" s="54"/>
    </row>
    <row r="21" spans="1:17" ht="24" thickBot="1" x14ac:dyDescent="0.4">
      <c r="B21" s="46" t="s">
        <v>10</v>
      </c>
      <c r="C21" s="47"/>
      <c r="D21" s="47"/>
      <c r="E21" s="47"/>
      <c r="F21" s="47"/>
      <c r="G21" s="47"/>
      <c r="H21" s="47"/>
      <c r="I21" s="47"/>
      <c r="J21" s="47"/>
      <c r="K21" s="48"/>
      <c r="L21" s="48"/>
      <c r="M21" s="48"/>
      <c r="N21" s="48"/>
      <c r="O21" s="48"/>
      <c r="P21" s="48"/>
      <c r="Q21" s="49"/>
    </row>
    <row r="22" spans="1:17" ht="24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7"/>
    </row>
    <row r="23" spans="1:17" ht="24" customHeight="1" x14ac:dyDescent="0.25">
      <c r="B23" s="38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40"/>
    </row>
    <row r="24" spans="1:17" ht="24" customHeight="1" x14ac:dyDescent="0.25">
      <c r="B24" s="38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40"/>
    </row>
    <row r="25" spans="1:17" ht="24" customHeight="1" x14ac:dyDescent="0.25">
      <c r="B25" s="38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40"/>
    </row>
    <row r="26" spans="1:17" ht="24" customHeight="1" thickBot="1" x14ac:dyDescent="0.3">
      <c r="B26" s="41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3"/>
    </row>
  </sheetData>
  <mergeCells count="24">
    <mergeCell ref="B5:Q5"/>
    <mergeCell ref="B7:Q7"/>
    <mergeCell ref="K11:L11"/>
    <mergeCell ref="M11:Q11"/>
    <mergeCell ref="B11:C11"/>
    <mergeCell ref="D11:I11"/>
    <mergeCell ref="B14:J14"/>
    <mergeCell ref="B15:J15"/>
    <mergeCell ref="B16:J16"/>
    <mergeCell ref="B13:J13"/>
    <mergeCell ref="B9:Q9"/>
    <mergeCell ref="K15:Q15"/>
    <mergeCell ref="K16:Q16"/>
    <mergeCell ref="K17:Q17"/>
    <mergeCell ref="K14:Q14"/>
    <mergeCell ref="K19:Q19"/>
    <mergeCell ref="B17:J17"/>
    <mergeCell ref="B18:J18"/>
    <mergeCell ref="B22:Q26"/>
    <mergeCell ref="K18:Q18"/>
    <mergeCell ref="B21:Q21"/>
    <mergeCell ref="B19:J19"/>
    <mergeCell ref="B20:J20"/>
    <mergeCell ref="K20:Q20"/>
  </mergeCells>
  <conditionalFormatting sqref="B22">
    <cfRule type="expression" dxfId="2" priority="10">
      <formula>$B$22="ALTA"</formula>
    </cfRule>
    <cfRule type="expression" dxfId="1" priority="11">
      <formula>$B$22="Média"</formula>
    </cfRule>
    <cfRule type="expression" dxfId="0" priority="12">
      <formula>$B$22="Baixa"</formula>
    </cfRule>
  </conditionalFormatting>
  <dataValidations count="1">
    <dataValidation type="list" allowBlank="1" showInputMessage="1" showErrorMessage="1" sqref="K16:Q16 K19:Q19" xr:uid="{00000000-0002-0000-0000-000000000000}">
      <formula1>"Não,Sim"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6000000}">
          <x14:formula1>
            <xm:f>'Aux. Complexidade'!$B$2:$D$2</xm:f>
          </x14:formula1>
          <xm:sqref>K14:Q14</xm:sqref>
        </x14:dataValidation>
        <x14:dataValidation type="list" allowBlank="1" showInputMessage="1" showErrorMessage="1" xr:uid="{00000000-0002-0000-0000-000007000000}">
          <x14:formula1>
            <xm:f>'Aux. Complexidade'!$B$3:$D$3</xm:f>
          </x14:formula1>
          <xm:sqref>K15:Q15</xm:sqref>
        </x14:dataValidation>
        <x14:dataValidation type="list" allowBlank="1" showInputMessage="1" showErrorMessage="1" xr:uid="{00000000-0002-0000-0000-000008000000}">
          <x14:formula1>
            <xm:f>'Aux. Complexidade'!$B$5:$D$5</xm:f>
          </x14:formula1>
          <xm:sqref>K17:Q17</xm:sqref>
        </x14:dataValidation>
        <x14:dataValidation type="list" allowBlank="1" showInputMessage="1" showErrorMessage="1" xr:uid="{00000000-0002-0000-0000-000009000000}">
          <x14:formula1>
            <xm:f>'Aux. Complexidade'!$B$6:$D$6</xm:f>
          </x14:formula1>
          <xm:sqref>K18:Q18</xm:sqref>
        </x14:dataValidation>
        <x14:dataValidation type="list" allowBlank="1" showInputMessage="1" showErrorMessage="1" xr:uid="{00000000-0002-0000-0000-00000A000000}">
          <x14:formula1>
            <xm:f>'Aux. Complexidade'!$B$7:$D$7</xm:f>
          </x14:formula1>
          <xm:sqref>K20:Q20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25"/>
  <sheetViews>
    <sheetView showGridLines="0" workbookViewId="0">
      <selection activeCell="H18" sqref="H18"/>
    </sheetView>
  </sheetViews>
  <sheetFormatPr defaultRowHeight="15" x14ac:dyDescent="0.25"/>
  <cols>
    <col min="1" max="1" width="1.7109375" customWidth="1"/>
    <col min="2" max="2" width="5" customWidth="1"/>
    <col min="3" max="3" width="34.5703125" customWidth="1"/>
    <col min="4" max="4" width="18.140625" customWidth="1"/>
    <col min="5" max="5" width="18.42578125" customWidth="1"/>
    <col min="6" max="6" width="18.7109375" customWidth="1"/>
  </cols>
  <sheetData>
    <row r="1" spans="3:6" ht="6" customHeight="1" x14ac:dyDescent="0.25"/>
    <row r="2" spans="3:6" ht="15" customHeight="1" x14ac:dyDescent="0.25"/>
    <row r="3" spans="3:6" ht="15" customHeight="1" x14ac:dyDescent="0.25"/>
    <row r="4" spans="3:6" ht="15" customHeight="1" x14ac:dyDescent="0.25"/>
    <row r="5" spans="3:6" ht="15" customHeight="1" x14ac:dyDescent="0.25"/>
    <row r="6" spans="3:6" x14ac:dyDescent="0.25">
      <c r="C6" s="70" t="s">
        <v>48</v>
      </c>
      <c r="D6" s="71" t="s">
        <v>30</v>
      </c>
      <c r="E6" s="71"/>
      <c r="F6" s="71"/>
    </row>
    <row r="7" spans="3:6" x14ac:dyDescent="0.25">
      <c r="C7" s="70"/>
      <c r="D7" s="20" t="s">
        <v>27</v>
      </c>
      <c r="E7" s="23" t="s">
        <v>28</v>
      </c>
      <c r="F7" s="24" t="s">
        <v>29</v>
      </c>
    </row>
    <row r="8" spans="3:6" x14ac:dyDescent="0.25">
      <c r="C8" s="2" t="s">
        <v>0</v>
      </c>
      <c r="D8" s="19" t="s">
        <v>33</v>
      </c>
      <c r="E8" s="21" t="s">
        <v>33</v>
      </c>
      <c r="F8" s="22" t="s">
        <v>33</v>
      </c>
    </row>
    <row r="9" spans="3:6" x14ac:dyDescent="0.25">
      <c r="C9" s="2" t="s">
        <v>74</v>
      </c>
      <c r="D9" s="19" t="s">
        <v>33</v>
      </c>
      <c r="E9" s="21" t="s">
        <v>33</v>
      </c>
      <c r="F9" s="22" t="s">
        <v>33</v>
      </c>
    </row>
    <row r="10" spans="3:6" x14ac:dyDescent="0.25">
      <c r="C10" s="2" t="s">
        <v>1</v>
      </c>
      <c r="D10" s="19" t="s">
        <v>33</v>
      </c>
      <c r="E10" s="21" t="s">
        <v>33</v>
      </c>
      <c r="F10" s="22"/>
    </row>
    <row r="11" spans="3:6" hidden="1" x14ac:dyDescent="0.25">
      <c r="C11" s="2" t="s">
        <v>34</v>
      </c>
      <c r="D11" s="19" t="s">
        <v>33</v>
      </c>
      <c r="E11" s="21" t="s">
        <v>33</v>
      </c>
      <c r="F11" s="22"/>
    </row>
    <row r="12" spans="3:6" hidden="1" x14ac:dyDescent="0.25">
      <c r="C12" s="1" t="s">
        <v>47</v>
      </c>
      <c r="D12" s="19" t="s">
        <v>33</v>
      </c>
      <c r="E12" s="21"/>
      <c r="F12" s="22"/>
    </row>
    <row r="13" spans="3:6" x14ac:dyDescent="0.25">
      <c r="C13" s="2" t="s">
        <v>31</v>
      </c>
      <c r="D13" s="19" t="s">
        <v>33</v>
      </c>
      <c r="E13" s="21"/>
      <c r="F13" s="22"/>
    </row>
    <row r="14" spans="3:6" x14ac:dyDescent="0.25">
      <c r="C14" s="2" t="s">
        <v>32</v>
      </c>
      <c r="D14" s="19" t="s">
        <v>33</v>
      </c>
      <c r="E14" s="21"/>
      <c r="F14" s="22"/>
    </row>
    <row r="15" spans="3:6" x14ac:dyDescent="0.25">
      <c r="C15" s="2" t="s">
        <v>2</v>
      </c>
      <c r="D15" s="19" t="s">
        <v>33</v>
      </c>
      <c r="E15" s="21" t="s">
        <v>33</v>
      </c>
      <c r="F15" s="22"/>
    </row>
    <row r="16" spans="3:6" x14ac:dyDescent="0.25">
      <c r="C16" s="1" t="s">
        <v>55</v>
      </c>
      <c r="D16" s="19" t="s">
        <v>33</v>
      </c>
      <c r="E16" s="21" t="s">
        <v>33</v>
      </c>
      <c r="F16" s="22" t="s">
        <v>33</v>
      </c>
    </row>
    <row r="17" spans="2:6" x14ac:dyDescent="0.25">
      <c r="C17" s="1" t="s">
        <v>56</v>
      </c>
      <c r="D17" s="19" t="s">
        <v>33</v>
      </c>
      <c r="E17" s="21" t="s">
        <v>33</v>
      </c>
      <c r="F17" s="22" t="s">
        <v>33</v>
      </c>
    </row>
    <row r="18" spans="2:6" x14ac:dyDescent="0.25">
      <c r="C18" s="2" t="s">
        <v>3</v>
      </c>
      <c r="D18" s="19" t="s">
        <v>33</v>
      </c>
      <c r="E18" s="21" t="s">
        <v>33</v>
      </c>
      <c r="F18" s="22" t="s">
        <v>33</v>
      </c>
    </row>
    <row r="19" spans="2:6" x14ac:dyDescent="0.25">
      <c r="C19" s="1" t="s">
        <v>72</v>
      </c>
      <c r="D19" s="19"/>
      <c r="E19" s="21" t="s">
        <v>33</v>
      </c>
      <c r="F19" s="22" t="s">
        <v>33</v>
      </c>
    </row>
    <row r="20" spans="2:6" hidden="1" x14ac:dyDescent="0.25">
      <c r="C20" s="2" t="s">
        <v>45</v>
      </c>
      <c r="D20" s="19" t="s">
        <v>33</v>
      </c>
      <c r="E20" s="21" t="s">
        <v>33</v>
      </c>
      <c r="F20" s="22" t="s">
        <v>33</v>
      </c>
    </row>
    <row r="21" spans="2:6" x14ac:dyDescent="0.25">
      <c r="C21" s="2" t="s">
        <v>73</v>
      </c>
      <c r="D21" s="19" t="s">
        <v>33</v>
      </c>
      <c r="E21" s="21" t="s">
        <v>33</v>
      </c>
      <c r="F21" s="22" t="s">
        <v>33</v>
      </c>
    </row>
    <row r="22" spans="2:6" hidden="1" x14ac:dyDescent="0.25">
      <c r="B22" t="s">
        <v>46</v>
      </c>
      <c r="C22" s="2" t="s">
        <v>59</v>
      </c>
      <c r="D22" s="19" t="s">
        <v>33</v>
      </c>
      <c r="E22" s="21" t="s">
        <v>33</v>
      </c>
      <c r="F22" s="22" t="s">
        <v>33</v>
      </c>
    </row>
    <row r="23" spans="2:6" hidden="1" x14ac:dyDescent="0.25">
      <c r="C23" s="2" t="s">
        <v>54</v>
      </c>
      <c r="D23" s="19" t="s">
        <v>33</v>
      </c>
      <c r="E23" s="21" t="s">
        <v>33</v>
      </c>
      <c r="F23" s="22" t="s">
        <v>33</v>
      </c>
    </row>
    <row r="24" spans="2:6" hidden="1" x14ac:dyDescent="0.25">
      <c r="B24" t="s">
        <v>46</v>
      </c>
      <c r="C24" s="1" t="s">
        <v>57</v>
      </c>
      <c r="D24" s="1"/>
      <c r="E24" s="1"/>
      <c r="F24" s="1"/>
    </row>
    <row r="25" spans="2:6" hidden="1" x14ac:dyDescent="0.25">
      <c r="B25" t="s">
        <v>46</v>
      </c>
      <c r="C25" s="1" t="s">
        <v>58</v>
      </c>
      <c r="D25" s="1"/>
      <c r="E25" s="1"/>
      <c r="F25" s="1"/>
    </row>
  </sheetData>
  <mergeCells count="2">
    <mergeCell ref="C6:C7"/>
    <mergeCell ref="D6:F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9"/>
  <sheetViews>
    <sheetView topLeftCell="A4" workbookViewId="0">
      <selection activeCell="D22" sqref="D22"/>
    </sheetView>
  </sheetViews>
  <sheetFormatPr defaultRowHeight="15" x14ac:dyDescent="0.25"/>
  <cols>
    <col min="1" max="1" width="104" bestFit="1" customWidth="1"/>
    <col min="2" max="2" width="49.5703125" bestFit="1" customWidth="1"/>
    <col min="3" max="3" width="19" customWidth="1"/>
    <col min="4" max="4" width="45.7109375" bestFit="1" customWidth="1"/>
  </cols>
  <sheetData>
    <row r="1" spans="1:4" x14ac:dyDescent="0.25">
      <c r="A1" s="3" t="s">
        <v>6</v>
      </c>
      <c r="B1" s="3" t="s">
        <v>38</v>
      </c>
      <c r="C1" s="28" t="s">
        <v>42</v>
      </c>
      <c r="D1" s="3" t="s">
        <v>39</v>
      </c>
    </row>
    <row r="2" spans="1:4" x14ac:dyDescent="0.25">
      <c r="A2" s="1" t="s">
        <v>25</v>
      </c>
      <c r="B2" s="1" t="s">
        <v>63</v>
      </c>
      <c r="C2" s="1" t="s">
        <v>64</v>
      </c>
      <c r="D2" s="1" t="s">
        <v>65</v>
      </c>
    </row>
    <row r="3" spans="1:4" x14ac:dyDescent="0.25">
      <c r="A3" s="1" t="s">
        <v>24</v>
      </c>
      <c r="B3" s="1" t="s">
        <v>60</v>
      </c>
      <c r="C3" s="1" t="s">
        <v>61</v>
      </c>
      <c r="D3" s="1" t="s">
        <v>62</v>
      </c>
    </row>
    <row r="4" spans="1:4" x14ac:dyDescent="0.25">
      <c r="A4" s="1" t="s">
        <v>41</v>
      </c>
      <c r="B4" s="1" t="s">
        <v>5</v>
      </c>
      <c r="C4" s="1"/>
      <c r="D4" s="1" t="s">
        <v>4</v>
      </c>
    </row>
    <row r="5" spans="1:4" x14ac:dyDescent="0.25">
      <c r="A5" s="1" t="s">
        <v>26</v>
      </c>
      <c r="B5" s="1" t="s">
        <v>51</v>
      </c>
      <c r="C5" s="1" t="s">
        <v>50</v>
      </c>
      <c r="D5" s="1" t="s">
        <v>52</v>
      </c>
    </row>
    <row r="6" spans="1:4" x14ac:dyDescent="0.25">
      <c r="A6" s="1" t="s">
        <v>53</v>
      </c>
      <c r="B6" s="1" t="s">
        <v>68</v>
      </c>
      <c r="C6" s="1" t="s">
        <v>66</v>
      </c>
      <c r="D6" s="1" t="s">
        <v>67</v>
      </c>
    </row>
    <row r="7" spans="1:4" x14ac:dyDescent="0.25">
      <c r="A7" s="1" t="s">
        <v>69</v>
      </c>
      <c r="B7" s="1" t="s">
        <v>70</v>
      </c>
      <c r="C7" s="1" t="s">
        <v>36</v>
      </c>
      <c r="D7" s="1" t="s">
        <v>71</v>
      </c>
    </row>
    <row r="8" spans="1:4" x14ac:dyDescent="0.25">
      <c r="A8" s="29" t="s">
        <v>49</v>
      </c>
      <c r="B8" s="29" t="s">
        <v>5</v>
      </c>
      <c r="C8" s="29"/>
      <c r="D8" s="29" t="s">
        <v>4</v>
      </c>
    </row>
    <row r="10" spans="1:4" x14ac:dyDescent="0.25">
      <c r="A10" s="71" t="s">
        <v>20</v>
      </c>
      <c r="B10" s="71"/>
    </row>
    <row r="11" spans="1:4" x14ac:dyDescent="0.25">
      <c r="A11" s="4" t="s">
        <v>22</v>
      </c>
      <c r="B11" s="27">
        <f>SUM($B$43:$B$49)</f>
        <v>12</v>
      </c>
    </row>
    <row r="12" spans="1:4" x14ac:dyDescent="0.25">
      <c r="A12" s="4" t="s">
        <v>23</v>
      </c>
      <c r="B12" s="27">
        <v>0.1</v>
      </c>
    </row>
    <row r="13" spans="1:4" x14ac:dyDescent="0.25">
      <c r="A13" s="5" t="s">
        <v>21</v>
      </c>
      <c r="B13" s="25">
        <f>SUM(B16:B19)-B11-B12</f>
        <v>15.9</v>
      </c>
    </row>
    <row r="15" spans="1:4" x14ac:dyDescent="0.25">
      <c r="A15" s="71" t="s">
        <v>20</v>
      </c>
      <c r="B15" s="71"/>
    </row>
    <row r="16" spans="1:4" x14ac:dyDescent="0.25">
      <c r="A16" s="5" t="s">
        <v>35</v>
      </c>
      <c r="B16" s="25">
        <v>7</v>
      </c>
    </row>
    <row r="17" spans="1:2" x14ac:dyDescent="0.25">
      <c r="A17" s="4" t="s">
        <v>36</v>
      </c>
      <c r="B17" s="25">
        <v>4.5</v>
      </c>
    </row>
    <row r="18" spans="1:2" x14ac:dyDescent="0.25">
      <c r="A18" s="5" t="s">
        <v>37</v>
      </c>
      <c r="B18" s="25">
        <v>2.5</v>
      </c>
    </row>
    <row r="19" spans="1:2" x14ac:dyDescent="0.25">
      <c r="A19" s="18" t="s">
        <v>14</v>
      </c>
      <c r="B19" s="26">
        <f>SUM(B16:B18)</f>
        <v>14</v>
      </c>
    </row>
    <row r="21" spans="1:2" x14ac:dyDescent="0.25">
      <c r="A21" s="3" t="s">
        <v>12</v>
      </c>
      <c r="B21" s="3" t="s">
        <v>13</v>
      </c>
    </row>
    <row r="22" spans="1:2" x14ac:dyDescent="0.25">
      <c r="A22" s="1" t="str">
        <f>$A$2&amp;B2</f>
        <v>Duração do projeto:Até 1 mês</v>
      </c>
      <c r="B22" s="1">
        <v>0</v>
      </c>
    </row>
    <row r="23" spans="1:2" x14ac:dyDescent="0.25">
      <c r="A23" s="1" t="str">
        <f>$A$2&amp;C2</f>
        <v>Duração do projeto:De 1 a 2 meses</v>
      </c>
      <c r="B23" s="1">
        <v>1</v>
      </c>
    </row>
    <row r="24" spans="1:2" x14ac:dyDescent="0.25">
      <c r="A24" s="1" t="str">
        <f>$A$2&amp;D2</f>
        <v>Duração do projeto:Acima de 2 meses</v>
      </c>
      <c r="B24" s="1">
        <v>2</v>
      </c>
    </row>
    <row r="25" spans="1:2" x14ac:dyDescent="0.25">
      <c r="A25" s="1" t="str">
        <f>$A$3&amp;B3</f>
        <v>Investimento total:Até R$ 100.000</v>
      </c>
      <c r="B25" s="1">
        <v>0</v>
      </c>
    </row>
    <row r="26" spans="1:2" x14ac:dyDescent="0.25">
      <c r="A26" s="1" t="str">
        <f>$A$3&amp;C3</f>
        <v>Investimento total:De R$ 100.000 a R$200.000</v>
      </c>
      <c r="B26" s="1">
        <v>1</v>
      </c>
    </row>
    <row r="27" spans="1:2" x14ac:dyDescent="0.25">
      <c r="A27" s="1" t="str">
        <f>$A$3&amp;D3</f>
        <v>Investimento total:Acima de R$ 200.000</v>
      </c>
      <c r="B27" s="1">
        <v>2</v>
      </c>
    </row>
    <row r="28" spans="1:2" x14ac:dyDescent="0.25">
      <c r="A28" s="1" t="str">
        <f>$A$4&amp;B4</f>
        <v>É necessário criar um novo contrato com o fornecedor?Não</v>
      </c>
      <c r="B28" s="1">
        <v>0</v>
      </c>
    </row>
    <row r="29" spans="1:2" x14ac:dyDescent="0.25">
      <c r="A29" s="1" t="str">
        <f>$A$4&amp;D4</f>
        <v>É necessário criar um novo contrato com o fornecedor?Sim</v>
      </c>
      <c r="B29" s="1">
        <v>2</v>
      </c>
    </row>
    <row r="30" spans="1:2" x14ac:dyDescent="0.25">
      <c r="A30" s="1" t="str">
        <f>$A$5&amp;B5</f>
        <v>Quantidade de recusros internos:1 recurso interno</v>
      </c>
      <c r="B30" s="1">
        <v>0</v>
      </c>
    </row>
    <row r="31" spans="1:2" x14ac:dyDescent="0.25">
      <c r="A31" s="1" t="str">
        <f>$A$5&amp;C5</f>
        <v>Quantidade de recusros internos:De 2 a 3 recursos internos</v>
      </c>
      <c r="B31" s="1">
        <v>1</v>
      </c>
    </row>
    <row r="32" spans="1:2" x14ac:dyDescent="0.25">
      <c r="A32" s="1" t="str">
        <f>$A$5&amp;D5</f>
        <v>Quantidade de recusros internos:Acima de 3 recursos internos</v>
      </c>
      <c r="B32" s="1">
        <v>2</v>
      </c>
    </row>
    <row r="33" spans="1:3" x14ac:dyDescent="0.25">
      <c r="A33" s="1" t="str">
        <f>$A$6&amp;B6</f>
        <v>Qual é a prioridade do projeto para a ABRASEL?Baixa (C)</v>
      </c>
      <c r="B33" s="1">
        <v>0</v>
      </c>
    </row>
    <row r="34" spans="1:3" x14ac:dyDescent="0.25">
      <c r="A34" s="1" t="str">
        <f>$A$6&amp;C6</f>
        <v>Qual é a prioridade do projeto para a ABRASEL?Média (B)</v>
      </c>
      <c r="B34" s="1">
        <v>1</v>
      </c>
    </row>
    <row r="35" spans="1:3" x14ac:dyDescent="0.25">
      <c r="A35" s="1" t="str">
        <f>$A$6&amp;D6</f>
        <v>Qual é a prioridade do projeto para a ABRASEL?Alta (A)</v>
      </c>
      <c r="B35" s="1">
        <v>2</v>
      </c>
    </row>
    <row r="36" spans="1:3" x14ac:dyDescent="0.25">
      <c r="A36" s="1" t="str">
        <f>$A$7&amp;B7</f>
        <v>Qual o grau de envolvimento necessário do CEO com o projeto?Baixo</v>
      </c>
      <c r="B36" s="1">
        <v>0</v>
      </c>
    </row>
    <row r="37" spans="1:3" x14ac:dyDescent="0.25">
      <c r="A37" s="1" t="str">
        <f>$A$7&amp;C7</f>
        <v>Qual o grau de envolvimento necessário do CEO com o projeto?Médio</v>
      </c>
      <c r="B37" s="1">
        <v>1</v>
      </c>
    </row>
    <row r="38" spans="1:3" x14ac:dyDescent="0.25">
      <c r="A38" s="1" t="str">
        <f>$A$7&amp;D7</f>
        <v>Qual o grau de envolvimento necessário do CEO com o projeto?Alto</v>
      </c>
      <c r="B38" s="1">
        <v>2</v>
      </c>
    </row>
    <row r="39" spans="1:3" x14ac:dyDescent="0.25">
      <c r="A39" s="1" t="str">
        <f>$A$8&amp;B8</f>
        <v>O projeto envolve a participação ativa de parceiros de negócio/outras empresas?Não</v>
      </c>
      <c r="B39" s="1">
        <v>0</v>
      </c>
    </row>
    <row r="40" spans="1:3" x14ac:dyDescent="0.25">
      <c r="A40" s="1" t="str">
        <f>$A$8&amp;D8</f>
        <v>O projeto envolve a participação ativa de parceiros de negócio/outras empresas?Sim</v>
      </c>
      <c r="B40" s="1">
        <v>2</v>
      </c>
    </row>
    <row r="42" spans="1:3" x14ac:dyDescent="0.25">
      <c r="A42" s="71" t="s">
        <v>13</v>
      </c>
      <c r="B42" s="71"/>
    </row>
    <row r="43" spans="1:3" x14ac:dyDescent="0.25">
      <c r="A43" s="1" t="s">
        <v>15</v>
      </c>
      <c r="B43" s="1">
        <f>VLOOKUP('Categorização de Projetos'!A14,'Aux. Complexidade'!$A$22:$B$40,2,0)</f>
        <v>2</v>
      </c>
    </row>
    <row r="44" spans="1:3" x14ac:dyDescent="0.25">
      <c r="A44" s="1" t="s">
        <v>16</v>
      </c>
      <c r="B44" s="1">
        <f>VLOOKUP('Categorização de Projetos'!A15,'Aux. Complexidade'!$A$22:$B$40,2,0)</f>
        <v>2</v>
      </c>
    </row>
    <row r="45" spans="1:3" x14ac:dyDescent="0.25">
      <c r="A45" s="1" t="s">
        <v>17</v>
      </c>
      <c r="B45" s="1">
        <f>VLOOKUP('Categorização de Projetos'!A16,'Aux. Complexidade'!$A$22:$B$40,2,0)</f>
        <v>2</v>
      </c>
    </row>
    <row r="46" spans="1:3" x14ac:dyDescent="0.25">
      <c r="A46" s="1" t="s">
        <v>18</v>
      </c>
      <c r="B46" s="1">
        <f>VLOOKUP('Categorização de Projetos'!A17,'Aux. Complexidade'!$A$22:$B$40,2,0)</f>
        <v>2</v>
      </c>
    </row>
    <row r="47" spans="1:3" x14ac:dyDescent="0.25">
      <c r="A47" s="1" t="s">
        <v>19</v>
      </c>
      <c r="B47" s="1">
        <f>IF(C47=2,14-(B43+B44+B45+B46+B48+B49),C47)</f>
        <v>1</v>
      </c>
      <c r="C47">
        <f>VLOOKUP('Categorização de Projetos'!A18,'Aux. Complexidade'!$A$22:$B$40,2,0)</f>
        <v>1</v>
      </c>
    </row>
    <row r="48" spans="1:3" x14ac:dyDescent="0.25">
      <c r="A48" s="1" t="s">
        <v>40</v>
      </c>
      <c r="B48" s="1">
        <f>VLOOKUP('Categorização de Projetos'!A19,'Aux. Complexidade'!$A$22:$B$40,2,0)</f>
        <v>2</v>
      </c>
    </row>
    <row r="49" spans="1:2" x14ac:dyDescent="0.25">
      <c r="A49" s="29" t="s">
        <v>43</v>
      </c>
      <c r="B49" s="1">
        <f>VLOOKUP('Categorização de Projetos'!A20,'Aux. Complexidade'!$A$22:$B$40,2,0)</f>
        <v>1</v>
      </c>
    </row>
  </sheetData>
  <mergeCells count="3">
    <mergeCell ref="A10:B10"/>
    <mergeCell ref="A15:B15"/>
    <mergeCell ref="A42:B42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3DFB35F0B09BA41AF54FC4903225F5B" ma:contentTypeVersion="12" ma:contentTypeDescription="Crie um novo documento." ma:contentTypeScope="" ma:versionID="88afad98f24d116704af87d72533eb09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95e8515a11a0c11488025c807b4764e6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D3A0F4-954F-4090-9C84-8B03814F169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6FE47D8-77F4-4440-A863-19957E4187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9ADD35-DA2F-4F0C-88D0-54F7AF849D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Categorização de Projetos</vt:lpstr>
      <vt:lpstr>Ritos de Gestão</vt:lpstr>
      <vt:lpstr>Aux. Complexidade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Felipe Alvares De Faria</cp:lastModifiedBy>
  <dcterms:created xsi:type="dcterms:W3CDTF">2019-03-26T18:57:32Z</dcterms:created>
  <dcterms:modified xsi:type="dcterms:W3CDTF">2021-03-28T22:57:06Z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